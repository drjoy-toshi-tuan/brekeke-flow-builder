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JOY______PBX_______" sheetId="1" r:id="rId5"/>
    <sheet state="visible" name="Brekeke 情報" sheetId="2" r:id="rId6"/>
    <sheet state="visible" name="固定シナリオサンプルFB" sheetId="3" r:id="rId7"/>
    <sheet state="visible" name="商談┃診療デモFB" sheetId="4" r:id="rId8"/>
    <sheet state="visible" name="WBS" sheetId="5" r:id="rId9"/>
    <sheet state="visible" name="WBS（Dev3専用）" sheetId="6" r:id="rId10"/>
    <sheet state="visible" name="DrJOY内部用質問管理表" sheetId="7" r:id="rId11"/>
    <sheet state="visible" name="WBS_VN" sheetId="8" r:id="rId12"/>
    <sheet state="visible" name="050比較" sheetId="9" r:id="rId13"/>
    <sheet state="visible" name="IVR設定用テンプレ" sheetId="10" r:id="rId14"/>
  </sheets>
  <definedNames>
    <definedName hidden="1" localSheetId="7" name="_xlnm._FilterDatabase">WBS_VN!$A$1:$S$26</definedName>
    <definedName hidden="1" localSheetId="4" name="Z_F4236DB6_EF65_4DF4_9417_3680F488022F_.wvu.FilterData">WBS!$A$4:$R$75</definedName>
    <definedName hidden="1" localSheetId="5" name="Z_F4236DB6_EF65_4DF4_9417_3680F488022F_.wvu.FilterData">'WBS（Dev3専用）'!$A$4:$S$73</definedName>
    <definedName hidden="1" localSheetId="4" name="Z_CD5E3487_C2AC_47B0_ACF3_635721EF3DAD_.wvu.FilterData">WBS!$A$4:$R$75</definedName>
    <definedName hidden="1" localSheetId="5" name="Z_CD5E3487_C2AC_47B0_ACF3_635721EF3DAD_.wvu.FilterData">'WBS（Dev3専用）'!$A$4:$S$73</definedName>
    <definedName hidden="1" localSheetId="4" name="Z_A41C9B87_4ABC_4BCD_9C74_2AC9961CBDB2_.wvu.FilterData">WBS!$A$4:$R$75</definedName>
    <definedName hidden="1" localSheetId="5" name="Z_A41C9B87_4ABC_4BCD_9C74_2AC9961CBDB2_.wvu.FilterData">'WBS（Dev3専用）'!$A$4:$S$73</definedName>
    <definedName hidden="1" localSheetId="7" name="Z_A41C9B87_4ABC_4BCD_9C74_2AC9961CBDB2_.wvu.FilterData">WBS_VN!$A$1:$S$26</definedName>
    <definedName hidden="1" localSheetId="4" name="Z_5354FC22_1C12_4E76_A795_E0A2759A6A3B_.wvu.FilterData">WBS!$A$4:$R$75</definedName>
    <definedName hidden="1" localSheetId="5" name="Z_5354FC22_1C12_4E76_A795_E0A2759A6A3B_.wvu.FilterData">'WBS（Dev3専用）'!$A$4:$S$73</definedName>
    <definedName hidden="1" localSheetId="4" name="Z_23C0B1AE_50D1_49A0_9CD6_C40FE3E1B341_.wvu.FilterData">WBS!$A$4:$R$75</definedName>
    <definedName hidden="1" localSheetId="5" name="Z_23C0B1AE_50D1_49A0_9CD6_C40FE3E1B341_.wvu.FilterData">'WBS（Dev3専用）'!$A$4:$S$73</definedName>
  </definedNames>
  <calcPr/>
  <customWorkbookViews>
    <customWorkbookView activeSheetId="0" maximized="1" windowHeight="0" windowWidth="0" guid="{23C0B1AE-50D1-49A0-9CD6-C40FE3E1B341}" name="開始予定日が今日以前である未着手"/>
    <customWorkbookView activeSheetId="0" maximized="1" windowHeight="0" windowWidth="0" guid="{CD5E3487-C2AC-47B0-ACF3-635721EF3DAD}" name="終了予定日が3日以内だが完了していないもの"/>
    <customWorkbookView activeSheetId="0" maximized="1" windowHeight="0" windowWidth="0" guid="{A41C9B87-4ABC-4BCD-9C74-2AC9961CBDB2}" name="井上"/>
    <customWorkbookView activeSheetId="0" maximized="1" windowHeight="0" windowWidth="0" guid="{5354FC22-1C12-4E76-A795-E0A2759A6A3B}" name="終了予定日が昨日以前だが完了していないもの"/>
    <customWorkbookView activeSheetId="0" maximized="1" windowHeight="0" windowWidth="0" guid="{F4236DB6-EF65-4DF4-9417-3680F488022F}" name="開始予定日が今日以前である未着手 のコピー"/>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tc={01eb8194-b8f1-41bb-a2ec-dad19d2e24c7}</author>
  </authors>
  <commentList>
    <comment authorId="0" xr:uid="{01eb8194-b8f1-41bb-a2ec-dad19d2e24c7}" ref="A1">
      <text>
        <t xml:space="preserve">[Threaded comment]
 Your version of Excel allows you to read this threaded comment; however, any edits to it will get removed if the file is opened in a newer version of Excel. Learn more: https://go.microsoft.com/fwlink/?linkid=870924
Comment:
	音声認識	発話→テキスト認識精度の検証	Google STT／アミボイスでの名前・診療科の認識精度確認。誤変換率検証。
応答品質	TTSレスポンスの自然さ／遅延確認	合成音声の速度、自然さ、音質、ピロン音の入り方などのUXテスト。
エンティティ	誤発話の正常分類チェック	「なんか」→「内科」などの誤変換から正規カテゴリへマッピングできるか検証。
フロー検証	IVR分岐の動作確認	時間帯・スケジュールによって正しくルート分岐しているかの検証。
音声録音	通話録音ファイルの保存確認	録音ファイルが正しく保存され、後から再生可能か。ダミー内線ユーザーの設定動作含む。
OpenAI	API応答スピードとエラーハンドリング	高負荷時の応答遅延、API不調時のフェールオーバー確認。
モジュール連携	DB連携データ保存／復元テスト	DBへ記録された発話意図が、別ノードで正しく再取得されるか。
UIテスト	フローデザイナー編集内容の反映	編集後の反映タイムラグ（約30秒）や保存状態の保持確認。
運用テスト	ガイダンスの誤読／冒頭切れ対策確認	モバイルからの通話で最初の音声が欠けないか。ウェイト設定の効果確認。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tc={bf9bd516-214c-4972-b130-2154fc8c9239}</author>
  </authors>
  <commentList>
    <comment authorId="0" xr:uid="{bf9bd516-214c-4972-b130-2154fc8c9239}" ref="H4">
      <text>
        <t xml:space="preserve">[Threaded comment]
 Your version of Excel allows you to read this threaded comment; however, any edits to it will get removed if the file is opened in a newer version of Excel. Learn more: https://go.microsoft.com/fwlink/?linkid=870924
Comment:
	@sumi.k@drjoy.jp さん
ここ、確認をお願いできますでしょうか。。。！！！
sumi.k@drjoy.jp さんに割り当てました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tc={06629362-88f7-4c78-af5a-d49fa46bc713}</author>
    <author>tc={06f0c4b9-a6eb-4777-a104-0461cfee87e9}</author>
    <author>tc={08673dec-209c-4e7e-ace5-d83aedad71b9}</author>
    <author>tc={154c527b-6005-46d9-b9a9-a568440540f1}</author>
    <author>tc={17b050d3-50fe-4123-9f78-6c84368f714d}</author>
    <author>tc={1bee9ee6-60ce-41bc-bbea-01f4ba0814bf}</author>
    <author>tc={1cc7ba62-e46c-48ea-9786-40e35e6f1a72}</author>
    <author>tc={270c5e28-e6f8-4a07-8473-3b25f57d2487}</author>
    <author>tc={270e6b7b-1e69-48f9-9190-828aa6d6fa1f}</author>
    <author>tc={35d389ae-e661-40f4-a4a7-bf28aed0df30}</author>
    <author>tc={37cc15b3-d499-4d2e-9f28-50543796595e}</author>
    <author>tc={3d2a4777-2b0b-467b-b4d3-82731195356d}</author>
    <author>tc={41611e12-53fb-4088-afb5-0af957644a70}</author>
    <author>tc={5045268d-047f-4b80-9615-231762b1b2b4}</author>
    <author>tc={5671f58c-66a5-4336-b7e6-ed65a230c002}</author>
    <author>tc={56fcbe5e-b4f8-486f-b410-6734b890eb2e}</author>
    <author>tc={5a433170-7084-44c6-9071-3e03b9a32442}</author>
    <author>tc={64060740-4cdb-49f5-8da9-84b2ffde4a0a}</author>
    <author>tc={69f37d37-9a83-4423-b7d0-5b2a1a677753}</author>
    <author>tc={6b546b0a-827c-4717-a94c-037ce224efc6}</author>
    <author>tc={76eafe0f-4a60-4f41-8b28-50485e34f9ce}</author>
    <author>tc={7dd4b091-620d-4cc1-bd45-23805742f3aa}</author>
    <author>tc={7f6543af-6761-42f5-8169-425a62d03027}</author>
    <author>tc={83b0e480-c1ad-4f8e-894b-5c9486626e08}</author>
    <author>tc={8896f8ee-1ebe-45eb-a2e7-da10899700fd}</author>
    <author>tc={93442e6b-1d31-4fa8-906d-1dbb30328d44}</author>
    <author>tc={94b2af0f-601c-4f2c-92f1-58f1a39e6969}</author>
    <author>tc={988b07f0-d288-4795-a886-5b400bd70d34}</author>
    <author>tc={a35c7037-8cca-4b08-ac7d-6780be6d1e42}</author>
    <author>tc={b830e902-b72a-4ca8-8c37-33858da36b97}</author>
    <author>tc={b88f77bb-7716-418b-90c2-99ac734b262d}</author>
    <author>tc={b8d42bd1-7c06-41d7-a283-5d342356447b}</author>
    <author>tc={c3ed8c29-68ba-4f02-a533-6c7bcff7f740}</author>
    <author>tc={c4dba7eb-1502-4818-a1e9-cb8bf46de279}</author>
    <author>tc={cc214cc3-b192-4fe0-ac50-ad88b97d12bd}</author>
    <author>tc={d6e72ac8-2f21-4ada-bdf0-a59658b63003}</author>
    <author>tc={d9e5b9ab-b70d-4bcb-adc1-c3591f89287c}</author>
    <author>tc={da9ec361-fdb6-48fb-bb33-bc5defda2760}</author>
    <author>tc={e03f1389-07bc-4e89-905d-5679bf0c24b5}</author>
    <author>tc={e0ad2e56-7df5-485c-a862-5444917c5011}</author>
    <author>tc={e495f6e9-078a-4d3b-a757-c2ef808e61af}</author>
    <author>tc={eb885b0a-0280-4b81-a5b6-c8729a42bfca}</author>
    <author>tc={ef6ab73b-d76d-4094-8cd7-8f4aaed9edb3}</author>
    <author>tc={f3555841-9c9d-4ec2-9c09-be4fbd846fed}</author>
    <author>tc={f45cf727-b31a-4e05-8eb1-55980ba0180e}</author>
    <author>tc={ffda5f7d-bf60-44b9-9408-fc5fbbcd4424}</author>
  </authors>
  <commentList>
    <comment authorId="0" xr:uid="{06629362-88f7-4c78-af5a-d49fa46bc713}" ref="D74">
      <text>
        <t xml:space="preserve">[Threaded comment]
 Your version of Excel allows you to read this threaded comment; however, any edits to it will get removed if the file is opened in a newer version of Excel. Learn more: https://go.microsoft.com/fwlink/?linkid=870924
Comment:
	@hamaguchi.t@drjoy.jp 
@fujita.m@drjoy.jp 
@okawara.h@drjoy.jp 
"rengaValues"の粒度、、検討してもらってもよいでしょうか。
※できれば3/11（水）のDev3との定例までに。
hamaguchi.t@drjoy.jp さんに割り当てました
</t>
      </text>
    </comment>
    <comment authorId="1" xr:uid="{06f0c4b9-a6eb-4777-a104-0461cfee87e9}" ref="C37">
      <text>
        <t xml:space="preserve">[Threaded comment]
 Your version of Excel allows you to read this threaded comment; however, any edits to it will get removed if the file is opened in a newer version of Excel. Learn more: https://go.microsoft.com/fwlink/?linkid=870924
Comment:
	@sugimoto.n@drjoy.jp
sugimoto.n@drjoy.jp さんに割り当てました
</t>
      </text>
    </comment>
    <comment authorId="2" xr:uid="{08673dec-209c-4e7e-ace5-d83aedad71b9}" ref="D16">
      <text>
        <t xml:space="preserve">[Threaded comment]
 Your version of Excel allows you to read this threaded comment; however, any edits to it will get removed if the file is opened in a newer version of Excel. Learn more: https://go.microsoft.com/fwlink/?linkid=870924
Comment:
	間に合わない場合はブレケケ内に直接書くことで対応
Reply:
	@sugimoto.n@drjoy.jp さん
要件固めましたので、チケット更新お願いします。
ハルさんには会話済みです。
</t>
      </text>
    </comment>
    <comment authorId="3" xr:uid="{154c527b-6005-46d9-b9a9-a568440540f1}" ref="G52">
      <text>
        <t xml:space="preserve">[Threaded comment]
 Your version of Excel allows you to read this threaded comment; however, any edits to it will get removed if the file is opened in a newer version of Excel. Learn more: https://go.microsoft.com/fwlink/?linkid=870924
Comment:
	@sugimoto.n@drjoy.jp さん
こちらもチケットをお願いします！
sugimoto.n@drjoy.jp さんに割り当てました
Reply:
	@inoue.t@drjoy.jp こちらも同様に仕様を来週月曜日に確認させてください
</t>
      </text>
    </comment>
    <comment authorId="4" xr:uid="{17b050d3-50fe-4123-9f78-6c84368f714d}" ref="C55">
      <text>
        <t xml:space="preserve">[Threaded comment]
 Your version of Excel allows you to read this threaded comment; however, any edits to it will get removed if the file is opened in a newer version of Excel. Learn more: https://go.microsoft.com/fwlink/?linkid=870924
Comment:
	@konishi.j@drjoy.jp さん
煮詰めてください。
konishi.j@drjoy.jp さんに割り当てました
</t>
      </text>
    </comment>
    <comment authorId="5" xr:uid="{1bee9ee6-60ce-41bc-bbea-01f4ba0814bf}" ref="C52">
      <text>
        <t xml:space="preserve">[Threaded comment]
 Your version of Excel allows you to read this threaded comment; however, any edits to it will get removed if the file is opened in a newer version of Excel. Learn more: https://go.microsoft.com/fwlink/?linkid=870924
Comment:
	@inoue.t@drjoy.jp 
n8nの要件定義を決めなさい
inoue.t@drjoy.jp さんに割り当てました
</t>
      </text>
    </comment>
    <comment authorId="6" xr:uid="{1cc7ba62-e46c-48ea-9786-40e35e6f1a72}" ref="O62">
      <text>
        <t xml:space="preserve">[Threaded comment]
 Your version of Excel allows you to read this threaded comment; however, any edits to it will get removed if the file is opened in a newer version of Excel. Learn more: https://go.microsoft.com/fwlink/?linkid=870924
Comment:
	@okawara.h@drjoy.jp さん
これ、捜索お願いします！
okawara.h@drjoy.jp さんに割り当てました
Reply:
	@inoue.t@drjoy.jp 真生会富山病院のフロー資料、シナリオ名記入済み。
残り：兵庫県予防医学協会のフロー（導入未確定）
</t>
      </text>
    </comment>
    <comment authorId="7" xr:uid="{270c5e28-e6f8-4a07-8473-3b25f57d2487}" ref="D64">
      <text>
        <t xml:space="preserve">[Threaded comment]
 Your version of Excel allows you to read this threaded comment; however, any edits to it will get removed if the file is opened in a newer version of Excel. Learn more: https://go.microsoft.com/fwlink/?linkid=870924
Comment:
	@inoue.t@drjoy.jp 
回答しましたので、ご確認お願いいたします。
inoue.t@drjoy.jp さんに割り当てました
</t>
      </text>
    </comment>
    <comment authorId="8" xr:uid="{270e6b7b-1e69-48f9-9190-828aa6d6fa1f}" ref="K1">
      <text>
        <t xml:space="preserve">[Threaded comment]
 Your version of Excel allows you to read this threaded comment; however, any edits to it will get removed if the file is opened in a newer version of Excel. Learn more: https://go.microsoft.com/fwlink/?linkid=870924
Comment:
	drjoy_admin
dryoi0001
</t>
      </text>
    </comment>
    <comment authorId="9" xr:uid="{35d389ae-e661-40f4-a4a7-bf28aed0df30}" ref="G51">
      <text>
        <t xml:space="preserve">[Threaded comment]
 Your version of Excel allows you to read this threaded comment; however, any edits to it will get removed if the file is opened in a newer version of Excel. Learn more: https://go.microsoft.com/fwlink/?linkid=870924
Comment:
	@sugimoto.n@drjoy.jp さん
こちらもチケットをお願いします！
sugimoto.n@drjoy.jp さんに割り当てました
Reply:
	@inoue.t@drjoy.jp こちら来週月曜のブレケケ定例で確認させてください。admin側のデザイン仕様を確認します
</t>
      </text>
    </comment>
    <comment authorId="10" xr:uid="{37cc15b3-d499-4d2e-9f28-50543796595e}" ref="K13">
      <text>
        <t xml:space="preserve">[Threaded comment]
 Your version of Excel allows you to read this threaded comment; however, any edits to it will get removed if the file is opened in a newer version of Excel. Learn more: https://go.microsoft.com/fwlink/?linkid=870924
Comment:
	角さんが対応しているNo. 18 録音プラグインが完了してから、着手します。
</t>
      </text>
    </comment>
    <comment authorId="11" xr:uid="{3d2a4777-2b0b-467b-b4d3-82731195356d}" ref="O21">
      <text>
        <t xml:space="preserve">[Threaded comment]
 Your version of Excel allows you to read this threaded comment; however, any edits to it will get removed if the file is opened in a newer version of Excel. Learn more: https://go.microsoft.com/fwlink/?linkid=870924
Comment:
	@sumi.k@drjoy.jp 本番環境できたようです！
sumi.k@drjoy.jp さんに割り当てました
</t>
      </text>
    </comment>
    <comment authorId="12" xr:uid="{41611e12-53fb-4088-afb5-0af957644a70}" ref="H59">
      <text>
        <t xml:space="preserve">[Threaded comment]
 Your version of Excel allows you to read this threaded comment; however, any edits to it will get removed if the file is opened in a newer version of Excel. Learn more: https://go.microsoft.com/fwlink/?linkid=870924
Comment:
	エーアイトーク購入決定したら、不要。
</t>
      </text>
    </comment>
    <comment authorId="13" xr:uid="{5045268d-047f-4b80-9615-231762b1b2b4}" ref="G63">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チケット化お願いします！！
できるだけ、2月リリース希望です！！
sugimoto.n@drjoy.jp さんに割り当てました
Reply:
	@inoue.t@drjoy.jp 承知しました！すいません明日のブレケケ定例にて確認させてください
・空きがあるかどうかだけ確認する意図
・オンライン予約との連携(すいませんこれも未チケットでした。)
・カスタマイズ項目とBrekekeのデータ連携の方法
</t>
      </text>
    </comment>
    <comment authorId="14" xr:uid="{5671f58c-66a5-4336-b7e6-ed65a230c002}" ref="G55">
      <text>
        <t xml:space="preserve">[Threaded comment]
 Your version of Excel allows you to read this threaded comment; however, any edits to it will get removed if the file is opened in a newer version of Excel. Learn more: https://go.microsoft.com/fwlink/?linkid=870924
Comment:
	@sugimoto.n@drjoy.jp さん
こちらもチケットをお願いします！
sugimoto.n@drjoy.jp さんに割り当てました
Reply:
	@inoue.t@drjoy.jp こちらも
Reply:
	完了マークを付けました
Reply:
	ReOpen！
再開しました
</t>
      </text>
    </comment>
    <comment authorId="15" xr:uid="{56fcbe5e-b4f8-486f-b410-6734b890eb2e}" ref="G60">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チケットお願いします
sugimoto.n@drjoy.jp さんに割り当てました
</t>
      </text>
    </comment>
    <comment authorId="16" xr:uid="{5a433170-7084-44c6-9071-3e03b9a32442}" ref="D18">
      <text>
        <t xml:space="preserve">[Threaded comment]
 Your version of Excel allows you to read this threaded comment; however, any edits to it will get removed if the file is opened in a newer version of Excel. Learn more: https://go.microsoft.com/fwlink/?linkid=870924
Comment:
	Brekekeの通話履歴をLookerで読める状態にする
【Dr.JOY】ブレケケ様 お打ち合わせの日程調整
メール抜粋
&gt;&gt; ・ブレケケPBXでの施設毎の請求バウチャーの作成イメージ
&gt;&gt;　 ※施設毎に分けて、電話番号単位で明細化。（通話レコード単位の明細までは
&gt;&gt; 不要）
&gt;&gt; ・電話番号単位（施設単位でマージすることができる状態）での通話結果のスコ
&gt;&gt; ア化可否
⇒メーカー純正の明細アプリはございません。
CDRという通話ログを吐出す（DBも可）機能がございます。
代理店様毎にサービス独自の考え方で明細アプリを作っていただいております。
SIP Server → CDR　の設定項目がそれに該当します。
</t>
      </text>
    </comment>
    <comment authorId="17" xr:uid="{64060740-4cdb-49f5-8da9-84b2ffde4a0a}" ref="G75">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チケット起票お願いします・・！！
sugimoto.n@drjoy.jp さんに割り当てました
</t>
      </text>
    </comment>
    <comment authorId="18" xr:uid="{69f37d37-9a83-4423-b7d0-5b2a1a677753}" ref="H20">
      <text>
        <t xml:space="preserve">[Threaded comment]
 Your version of Excel allows you to read this threaded comment; however, any edits to it will get removed if the file is opened in a newer version of Excel. Learn more: https://go.microsoft.com/fwlink/?linkid=870924
Comment:
	音声ストリームができるようになってから。
</t>
      </text>
    </comment>
    <comment authorId="19" xr:uid="{6b546b0a-827c-4717-a94c-037ce224efc6}" ref="G50">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チケット済みでしょうか・・？
sugimoto.n@drjoy.jp さんに割り当てました
</t>
      </text>
    </comment>
    <comment authorId="20" xr:uid="{76eafe0f-4a60-4f41-8b28-50485e34f9ce}" ref="D16">
      <text>
        <t xml:space="preserve">[Threaded comment]
 Your version of Excel allows you to read this threaded comment; however, any edits to it will get removed if the file is opened in a newer version of Excel. Learn more: https://go.microsoft.com/fwlink/?linkid=870924
Comment:
	@inoue.t@drjoy.jp 明日の定例でこちらの詳細確認させてください。
Reply:
	杉本さん
承知です！
</t>
      </text>
    </comment>
    <comment authorId="21" xr:uid="{7dd4b091-620d-4cc1-bd45-23805742f3aa}" ref="G74">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チケット起票お願いします・・！！
sugimoto.n@drjoy.jp さんに割り当てました
</t>
      </text>
    </comment>
    <comment authorId="22" xr:uid="{7f6543af-6761-42f5-8169-425a62d03027}" ref="O19">
      <text>
        <t xml:space="preserve">[Threaded comment]
 Your version of Excel allows you to read this threaded comment; however, any edits to it will get removed if the file is opened in a newer version of Excel. Learn more: https://go.microsoft.com/fwlink/?linkid=870924
Comment:
	■最終成果物で見たい指標
通話完了率/途中切断率/冒頭切断率
総受電件数（前月比）
重複する入電数（前月比）
シナリオ本数
紹介病院数／視察受入数
金額／件（前月比）
SMS活用件数／月（前月比）
■コールログから出力してほしい項目通話ID
タイプ
通話日時
通話時間
会話シナリオ
バージョン
オペレータ名
電話番号
チェックポイント
区分
診療科
連絡先電話番号
生年月日
callId
callSid
accountSid
通話日時（詳細）
from（発信元）
to（着信先）
発着信区分
通話開始日時
通話終了日時
通話結果
会話シナリオ名
通話時間（秒）
転送後の通話時間（秒）
モニターコール通話時間（秒）
システムテスト通話時間（秒）
interfaceId
会話インタフェース名
</t>
      </text>
    </comment>
    <comment authorId="23" xr:uid="{83b0e480-c1ad-4f8e-894b-5c9486626e08}" ref="D54">
      <text>
        <t xml:space="preserve">[Threaded comment]
 Your version of Excel allows you to read this threaded comment; however, any edits to it will get removed if the file is opened in a newer version of Excel. Learn more: https://go.microsoft.com/fwlink/?linkid=870924
Comment:
	0 ゼロ
0 れい
0 まる
0 おー
0 Zero
1 ひー
1 いち
1 ワン
1 one
2 に
2 つー
2 ふー
2 two
2 ツー
3 さん
3 み
3 three
3 スリー
4 よん
4 しー
4 し
4 よー
4 C
4 Sea
4 four
4 フォー
5 ご
5 いつ
5 Go
5 five
5 ファイブ
6 ろく
6 ろー
6 む
6 むー
6 six
6 シックス
7 なな
7 しち
7 seven
7 セブン
8 はち
8 や
8 eight
8 エイト
9 きゅう
9 きゅー
9 Q
9 nine
9 ナイン
</t>
      </text>
    </comment>
    <comment authorId="24" xr:uid="{8896f8ee-1ebe-45eb-a2e7-da10899700fd}" ref="O45">
      <text>
        <t xml:space="preserve">[Threaded comment]
 Your version of Excel allows you to read this threaded comment; however, any edits to it will get removed if the file is opened in a newer version of Excel. Learn more: https://go.microsoft.com/fwlink/?linkid=870924
Comment:
	@inoue.t@drjoy.jp
inoue.t@drjoy.jp さんに割り当てました
</t>
      </text>
    </comment>
    <comment authorId="25" xr:uid="{93442e6b-1d31-4fa8-906d-1dbb30328d44}" ref="L12">
      <text>
        <t xml:space="preserve">[Threaded comment]
 Your version of Excel allows you to read this threaded comment; however, any edits to it will get removed if the file is opened in a newer version of Excel. Learn more: https://go.microsoft.com/fwlink/?linkid=870924
Comment:
	角さんと相談し、通話データの保存仕組みが変更され、DBの作成、pub/subの対応が完了したら、引き続き対応いたします。
</t>
      </text>
    </comment>
    <comment authorId="26" xr:uid="{94b2af0f-601c-4f2c-92f1-58f1a39e6969}" ref="J28">
      <text>
        <t xml:space="preserve">[Threaded comment]
 Your version of Excel allows you to read this threaded comment; however, any edits to it will get removed if the file is opened in a newer version of Excel. Learn more: https://go.microsoft.com/fwlink/?linkid=870924
Comment:
	8/22→9/8へ変更
Dr.JOYへの連携用モジュール開発町のため。
</t>
      </text>
    </comment>
    <comment authorId="27" xr:uid="{988b07f0-d288-4795-a886-5b400bd70d34}" ref="O17">
      <text>
        <t xml:space="preserve">[Threaded comment]
 Your version of Excel allows you to read this threaded comment; however, any edits to it will get removed if the file is opened in a newer version of Excel. Learn more: https://go.microsoft.com/fwlink/?linkid=870924
Comment:
	@sugimoto.n@drjoy.jp
sugimoto.n@drjoy.jp さんに割り当てました
</t>
      </text>
    </comment>
    <comment authorId="28" xr:uid="{a35c7037-8cca-4b08-ac7d-6780be6d1e42}" ref="O18">
      <text>
        <t xml:space="preserve">[Threaded comment]
 Your version of Excel allows you to read this threaded comment; however, any edits to it will get removed if the file is opened in a newer version of Excel. Learn more: https://go.microsoft.com/fwlink/?linkid=870924
Comment:
	■最終成果物で見たい指標
通話完了率/途中切断率/冒頭切断率
総受電件数（前月比）
重複する入電数（前月比）
シナリオ本数
紹介病院数／視察受入数
金額／件（前月比）
SMS活用件数／月（前月比）
■コールログから出力してほしい項目通話ID
タイプ
通話日時
通話時間
会話シナリオ
バージョン
オペレータ名
電話番号
チェックポイント
区分
診療科
連絡先電話番号
生年月日
callId
callSid
accountSid
通話日時（詳細）
from（発信元）
to（着信先）
発着信区分
通話開始日時
通話終了日時
通話結果
会話シナリオ名
通話時間（秒）
転送後の通話時間（秒）
モニターコール通話時間（秒）
システムテスト通話時間（秒）
interfaceId
会話インタフェース名
</t>
      </text>
    </comment>
    <comment authorId="29" xr:uid="{b830e902-b72a-4ca8-8c37-33858da36b97}" ref="G57">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チケット起票お願いします！
sugimoto.n@drjoy.jp さんに割り当てました
</t>
      </text>
    </comment>
    <comment authorId="30" xr:uid="{b88f77bb-7716-418b-90c2-99ac734b262d}" ref="L7">
      <text>
        <t xml:space="preserve">[Threaded comment]
 Your version of Excel allows you to read this threaded comment; however, any edits to it will get removed if the file is opened in a newer version of Excel. Learn more: https://go.microsoft.com/fwlink/?linkid=870924
Comment:
	バグがあり、修正して、明日に完了する予定です
</t>
      </text>
    </comment>
    <comment authorId="31" xr:uid="{b8d42bd1-7c06-41d7-a283-5d342356447b}" ref="G69">
      <text>
        <t xml:space="preserve">[Threaded comment]
 Your version of Excel allows you to read this threaded comment; however, any edits to it will get removed if the file is opened in a newer version of Excel. Learn more: https://go.microsoft.com/fwlink/?linkid=870924
Comment:
	@thanh.pham@drjoy.vn さん
チケット起票もお願いします＞＜
260206・・で・・。。
thanh.pham@drjoy.vn さんに割り当てました
</t>
      </text>
    </comment>
    <comment authorId="32" xr:uid="{c3ed8c29-68ba-4f02-a533-6c7bcff7f740}" ref="L14">
      <text>
        <t xml:space="preserve">[Threaded comment]
 Your version of Excel allows you to read this threaded comment; however, any edits to it will get removed if the file is opened in a newer version of Excel. Learn more: https://go.microsoft.com/fwlink/?linkid=870924
Comment:
	バグがあり、修正して、明日に完了する予定です
</t>
      </text>
    </comment>
    <comment authorId="33" xr:uid="{c4dba7eb-1502-4818-a1e9-cb8bf46de279}" ref="L66">
      <text>
        <t xml:space="preserve">[Threaded comment]
 Your version of Excel allows you to read this threaded comment; however, any edits to it will get removed if the file is opened in a newer version of Excel. Learn more: https://go.microsoft.com/fwlink/?linkid=870924
Comment:
	@inoue.t@drjoy.jp 
他のタスクもありますので、もしお急ぎでなければ対応チケットを作成し、今週の土曜日に検証を行う予定ですが、いかがでしょうか。
今週の土曜日(10日)ベトナムの通常出勤日になります。
inoue.t@drjoy.jp さんに割り当てました
Reply:
	@thanh.pham@drjoy.vn さん
大丈夫です！！！
1/10に対応お願いします！結果は月曜日に教えてください！
合計リアクション数: 1 件
ハルThanh さんが 2026-01-08 10:23 AMに 👍 でリアクションしました
thanh.pham@drjoy.vn さんに再割り当てしました
</t>
      </text>
    </comment>
    <comment authorId="34" xr:uid="{cc214cc3-b192-4fe0-ac50-ad88b97d12bd}" ref="G62">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チケットお願いします！
sugimoto.n@drjoy.jp さんに割り当てました
</t>
      </text>
    </comment>
    <comment authorId="35" xr:uid="{d6e72ac8-2f21-4ada-bdf0-a59658b63003}" ref="G58">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チケットを！
sugimoto.n@drjoy.jp さんに割り当てました
</t>
      </text>
    </comment>
    <comment authorId="36" xr:uid="{d9e5b9ab-b70d-4bcb-adc1-c3591f89287c}" ref="O64">
      <text>
        <t xml:space="preserve">[Threaded comment]
 Your version of Excel allows you to read this threaded comment; however, any edits to it will get removed if the file is opened in a newer version of Excel. Learn more: https://go.microsoft.com/fwlink/?linkid=870924
Comment:
	@inoue.t@drjoy.jp さん
API でレスポンスを確認することは可能ですが、
画面上で確認したい場合は、新規画面の作成が必要となります。
その画面にて、ログ ID、input、output を保存・表示する想定かと思います。
https://redmine.famishare.jp/issues/227911
1 月リリースに対応するチケットは、各事業所の通話ログに関する内容となるため、モジュールのログとしては適切ではないかと思います。
inoue.t@drjoy.jp さんに割り当てました
</t>
      </text>
    </comment>
    <comment authorId="37" xr:uid="{da9ec361-fdb6-48fb-bb33-bc5defda2760}" ref="K2">
      <text>
        <t xml:space="preserve">[Threaded comment]
 Your version of Excel allows you to read this threaded comment; however, any edits to it will get removed if the file is opened in a newer version of Excel. Learn more: https://go.microsoft.com/fwlink/?linkid=870924
Comment:
	1.通話ができる
2.ログがDr.JOYに反映される
3.録音がDr.JOYに連携され再生できる
</t>
      </text>
    </comment>
    <comment authorId="38" xr:uid="{e03f1389-07bc-4e89-905d-5679bf0c24b5}" ref="H13">
      <text>
        <t xml:space="preserve">[Threaded comment]
 Your version of Excel allows you to read this threaded comment; however, any edits to it will get removed if the file is opened in a newer version of Excel. Learn more: https://go.microsoft.com/fwlink/?linkid=870924
Comment:
	6のフローが確定してからの着手データの持ち方
</t>
      </text>
    </comment>
    <comment authorId="39" xr:uid="{e0ad2e56-7df5-485c-a862-5444917c5011}" ref="D53">
      <text>
        <t xml:space="preserve">[Threaded comment]
 Your version of Excel allows you to read this threaded comment; however, any edits to it will get removed if the file is opened in a newer version of Excel. Learn more: https://go.microsoft.com/fwlink/?linkid=870924
Comment:
	Amivoiceの送信先を変更する必要あり
TTSも変更する
</t>
      </text>
    </comment>
    <comment authorId="40" xr:uid="{e495f6e9-078a-4d3b-a757-c2ef808e61af}" ref="G46">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チケット済み・・・でしょうか？
sugimoto.n@drjoy.jp さんに割り当てました
</t>
      </text>
    </comment>
    <comment authorId="41" xr:uid="{eb885b0a-0280-4b81-a5b6-c8729a42bfca}" ref="G37">
      <text>
        <t xml:space="preserve">[Threaded comment]
 Your version of Excel allows you to read this threaded comment; however, any edits to it will get removed if the file is opened in a newer version of Excel. Learn more: https://go.microsoft.com/fwlink/?linkid=870924
Comment:
	@sugimoto.n@drjoy.jp 
ここです！
</t>
      </text>
    </comment>
    <comment authorId="42" xr:uid="{ef6ab73b-d76d-4094-8cd7-8f4aaed9edb3}" ref="D51">
      <text>
        <t xml:space="preserve">[Threaded comment]
 Your version of Excel allows you to read this threaded comment; however, any edits to it will get removed if the file is opened in a newer version of Excel. Learn more: https://go.microsoft.com/fwlink/?linkid=870924
Comment:
	@sugimoto.n@drjoy.jp 
amivoiveは同じ文言を登録するとどれが選ばれるか不定
複数のリストを選択した場合、リストの内容を返す前に重複チェックをして、重複された場合はリスト上で上ものを優先する
sugimoto.n@drjoy.jp さんに割り当てました
</t>
      </text>
    </comment>
    <comment authorId="43" xr:uid="{f3555841-9c9d-4ec2-9c09-be4fbd846fed}" ref="G64">
      <text>
        <t xml:space="preserve">[Threaded comment]
 Your version of Excel allows you to read this threaded comment; however, any edits to it will get removed if the file is opened in a newer version of Excel. Learn more: https://go.microsoft.com/fwlink/?linkid=870924
Comment:
	@sugimoto.n@drjoy.jp さん
チケットお願いします！！
sugimoto.n@drjoy.jp さんに割り当てました
</t>
      </text>
    </comment>
    <comment authorId="44" xr:uid="{f45cf727-b31a-4e05-8eb1-55980ba0180e}" ref="D64">
      <text>
        <t xml:space="preserve">[Threaded comment]
 Your version of Excel allows you to read this threaded comment; however, any edits to it will get removed if the file is opened in a newer version of Excel. Learn more: https://go.microsoft.com/fwlink/?linkid=870924
Comment:
	@inoue.t@drjoy.jp 
追加要望は別途のチケットで対応いたします。
inoue.t@drjoy.jp さんに割り当てました
</t>
      </text>
    </comment>
    <comment authorId="45" xr:uid="{ffda5f7d-bf60-44b9-9408-fc5fbbcd4424}" ref="D55">
      <text>
        <t xml:space="preserve">[Threaded comment]
 Your version of Excel allows you to read this threaded comment; however, any edits to it will get removed if the file is opened in a newer version of Excel. Learn more: https://go.microsoft.com/fwlink/?linkid=870924
Comment:
	@inoue.t@drjoy.jp 
以下、ブレケケ確認
複数のモジュールとサブモジュールのジャンプ設定を規定した、モジュールパレットのような利用方法はできるものか。
inoue.t@drjoy.jp さんに割り当てました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tc={05cce97a-5437-42fb-937d-36a72420ecce}</author>
    <author>tc={947edc4a-708f-480b-96d3-1903b48e2259}</author>
    <author>tc={bea96989-3ec2-4d4b-80b1-4e81fc72541c}</author>
    <author>tc={c1342dd0-f67f-4ce9-905a-3f8ed8064a3e}</author>
  </authors>
  <commentList>
    <comment authorId="0" xr:uid="{05cce97a-5437-42fb-937d-36a72420ecce}" ref="D12">
      <text>
        <t xml:space="preserve">[Threaded comment]
 Your version of Excel allows you to read this threaded comment; however, any edits to it will get removed if the file is opened in a newer version of Excel. Learn more: https://go.microsoft.com/fwlink/?linkid=870924
Comment:
	挙動について問題ありませんが、タイムラグが発生しています。
</t>
      </text>
    </comment>
    <comment authorId="1" xr:uid="{947edc4a-708f-480b-96d3-1903b48e2259}" ref="H13">
      <text>
        <t xml:space="preserve">[Threaded comment]
 Your version of Excel allows you to read this threaded comment; however, any edits to it will get removed if the file is opened in a newer version of Excel. Learn more: https://go.microsoft.com/fwlink/?linkid=870924
Comment:
	@tuan.nguyen4@drjoy.vn 
Anh update trạng thái task deploy này giúp em nhé
tuan.nguyen4@drjoy.vn さんに割り当てました
</t>
      </text>
    </comment>
    <comment authorId="2" xr:uid="{bea96989-3ec2-4d4b-80b1-4e81fc72541c}" ref="D9">
      <text>
        <t xml:space="preserve">[Threaded comment]
 Your version of Excel allows you to read this threaded comment; however, any edits to it will get removed if the file is opened in a newer version of Excel. Learn more: https://go.microsoft.com/fwlink/?linkid=870924
Comment:
	260224時点で現状はこのままです！
</t>
      </text>
    </comment>
    <comment authorId="3" xr:uid="{c1342dd0-f67f-4ce9-905a-3f8ed8064a3e}" ref="D8">
      <text>
        <t xml:space="preserve">[Threaded comment]
 Your version of Excel allows you to read this threaded comment; however, any edits to it will get removed if the file is opened in a newer version of Excel. Learn more: https://go.microsoft.com/fwlink/?linkid=870924
Comment:
	Mất thời gian để xử lý (tham chiếu toàn bộ ivr properties của main flow). Không xử lý được.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tc={187f484e-a96b-4157-be0b-089879b904c0}</author>
    <author>tc={3f1576e0-b15d-4b73-a122-dbae63389549}</author>
    <author>tc={5ed039c2-cb99-4690-90d6-f5221f1b0ce2}</author>
    <author>tc={838afa6f-7423-4516-9bcd-7e2c38acde31}</author>
    <author>tc={84ecb982-aafc-421a-b62e-ad7aa11b5539}</author>
    <author>tc={a72f654f-2cf1-4e0a-b225-aa5312a4a1ce}</author>
    <author>tc={a95f4a75-935a-4dee-afa3-e1c24bfc2d15}</author>
    <author>tc={ee73d46b-ec99-4099-a859-0667755e3e6a}</author>
    <author>tc={eebf0836-f7a8-4fff-a372-b8b5140c6560}</author>
  </authors>
  <commentList>
    <comment authorId="0" xr:uid="{187f484e-a96b-4157-be0b-089879b904c0}" ref="E31">
      <text>
        <t xml:space="preserve">[Threaded comment]
 Your version of Excel allows you to read this threaded comment; however, any edits to it will get removed if the file is opened in a newer version of Excel. Learn more: https://go.microsoft.com/fwlink/?linkid=870924
Comment:
	@thanh.pham@drjoy.vn さん
Call ID、取れるようになったのですが、通話一覧画面に表示されません・・＞＜
thanh.pham@drjoy.vn さんに割り当てました
Reply:
	@inoue.t@drjoy.jp 
開発者と確認したところ、saveContextModel2DBモジュールにCallIDが定義されていますが、save2dbで取得できる項目ではないので、データベースに保存するとき、contextFieldsのCallIDが「null」になっています。
詳細画面はコンテキスト設定ではなく、ソースコードに事前に登録されてcallIdから取得して、表示しています。
修正方法としては、コンテキスト設定の通話ID項目を削除してから、一覧にも表示できました。
今後コンテキスト設定に通話ID項目があっても、一覧に表示できるように、処理ロジックを修正いたします。
inoue.t@drjoy.jp さんに再割り当てしました
</t>
      </text>
    </comment>
    <comment authorId="1" xr:uid="{3f1576e0-b15d-4b73-a122-dbae63389549}" ref="F27">
      <text>
        <t xml:space="preserve">[Threaded comment]
 Your version of Excel allows you to read this threaded comment; however, any edits to it will get removed if the file is opened in a newer version of Excel. Learn more: https://go.microsoft.com/fwlink/?linkid=870924
Comment:
	@inoue.t@drjoy.jp さん
@sugimoto.n@drjoy.jp さん
転送待ち時間とは転送を開始するまでに待たされる時間という認識であっていますか。
inoue.t@drjoy.jp さんに割り当てました
Reply:
	はい！認識合ってます。
転送の呼び出し時間と言い換えたら良いでしょうか。
合計リアクション数: 1 件
ハルThanh さんが 2025-09-29 09:37 AMに 👍 でリアクションしました
Reply:
	@inoue.t@drjoy.jp さん
ありがとうございます。
BrekekeのCall TransferモジュールにはTime outがありますが、同じものではないでしょうか。
Reply:
	指定時間経過しても、転送先に繋がらなかったらtime out＝転送失敗
という結果と同じ意味と捉えてよければ同じかな。、
と思うのですが、意味合いが違いますかね。。
ちょっとtransferの標準モジュール見てみます！
合計リアクション数: 1 件
ハルThanh さんが 2025-09-29 09:43 AMに 👍 でリアクションしました
Reply:
	@inoue.t@drjoy.jp さん
はい、ご確認お願いします。
標準モジュールのtime outと同じものでしたら、そのまま使用しますね。
Reply:
	@thanh.pham@drjoy.vn さん
timuout = 転送先につながることを待つ最大時間ですね！
なので、認識相違ないと思います！！
thanh.pham@drjoy.vn さんに再割り当てしました
</t>
      </text>
    </comment>
    <comment authorId="2" xr:uid="{5ed039c2-cb99-4690-90d6-f5221f1b0ce2}" ref="D31">
      <text>
        <t xml:space="preserve">[Threaded comment]
 Your version of Excel allows you to read this threaded comment; however, any edits to it will get removed if the file is opened in a newer version of Excel. Learn more: https://go.microsoft.com/fwlink/?linkid=870924
Comment:
	@thanh.pham@drjoy.vn さん
これお願いします！！
thanh.pham@drjoy.vn さんに割り当てました
</t>
      </text>
    </comment>
    <comment authorId="3" xr:uid="{838afa6f-7423-4516-9bcd-7e2c38acde31}" ref="D29">
      <text>
        <t xml:space="preserve">[Threaded comment]
 Your version of Excel allows you to read this threaded comment; however, any edits to it will get removed if the file is opened in a newer version of Excel. Learn more: https://go.microsoft.com/fwlink/?linkid=870924
Comment:
	@inoue.t@drjoy.jp 
CC @sugimoto.n@drjoy.jp 
現象を記載しました。
Brekeke側にご確認お願いいたします。
inoue.t@drjoy.jp さんに割り当てました
Reply:
	ありがとうございますーー！
完了マークを付けました
</t>
      </text>
    </comment>
    <comment authorId="4" xr:uid="{84ecb982-aafc-421a-b62e-ad7aa11b5539}" ref="D26">
      <text>
        <t xml:space="preserve">[Threaded comment]
 Your version of Excel allows you to read this threaded comment; however, any edits to it will get removed if the file is opened in a newer version of Excel. Learn more: https://go.microsoft.com/fwlink/?linkid=870924
Comment:
	@thanh.pham@drjoy.vn さん
・発生日時
・発信元
・発信先（ARS / IVR内線番号 / フロー名）
教えてください！！！
thanh.pham@drjoy.vn さんに割り当てました
Reply:
	＠井上さん
ハング不具合が発生したレコードの詳細情報を共有させていただきます。
・事象: あるノードで通話が停止し、次のノードに進めず無音が続きました。
・発生日時: 2025年09月17日 16:46
・発信元: 05017066071
・発信先:
ARS: 05055781766
IVR内線番号: 08052025
フロー名: DrJOY - DrJoy- Oanh_context
Reply:
	ありがとうございます！
メール出しました！！
【ご依頼】システムハングの調査をお願いできますでしょうか。
Reply:
	@inoue.t@drjoy.jp さん
 ありがとうございます。
助かります。
</t>
      </text>
    </comment>
    <comment authorId="5" xr:uid="{a72f654f-2cf1-4e0a-b225-aa5312a4a1ce}" ref="F25">
      <text>
        <t xml:space="preserve">[Threaded comment]
 Your version of Excel allows you to read this threaded comment; however, any edits to it will get removed if the file is opened in a newer version of Excel. Learn more: https://go.microsoft.com/fwlink/?linkid=870924
Comment:
	@thanh.pham@drjoy.vn さん
あってました！！！！
---
String getMyNumber()
Description: Get phone number that is used for current call
Return: The user’s phone number
---
thanh.pham@drjoy.vn さんに割り当てました
Reply:
	@井上さん
ありがとうございます。
確認いたします。
Reply:
	@井上さん
ご確認お願いいたします。
Reply:
	@thanh.pham@drjoy.vn さん
【ご依頼】Brekeke BPXの契約書送付_Dr.JOY
メールにてブレケケへ確認入れました！
Reply:
	thanh.pham@drjoy.vn
ブレケケから回答来ました！
着信先の外線番号を取得するためには、「AI電話」のフローにある「入電番号確認」のモジュール内にある
$ivr.getPbxRoomParam("incoming")
で取得できます。
仕組みの詳細は講習会で説明しますが、
ARS-INのデプロイパターンCustomに&amp;incoming=xxxxxxを設定することにより、内部的にincomingという変数に着信先番号を設定しています。
フローでは、この変数の値を取得することによって、着信先番号を特定することができます。さん
Reply:
	@thanh.pham@drjoy.vn さん
更新しました！確認して問題なければ、コメントをresolvedにお願いします！
Reply:
	完了マークを付けました
Reply:
	resolvedに変更しました。
再開しました
</t>
      </text>
    </comment>
    <comment authorId="6" xr:uid="{a95f4a75-935a-4dee-afa3-e1c24bfc2d15}" ref="E32">
      <text>
        <t xml:space="preserve">[Threaded comment]
 Your version of Excel allows you to read this threaded comment; however, any edits to it will get removed if the file is opened in a newer version of Excel. Learn more: https://go.microsoft.com/fwlink/?linkid=870924
Comment:
	@thanh.pham@drjoy.vn さん
先ほどの会でお伝えしたログです！
thanh.pham@drjoy.vn さんに割り当てました
Reply:
	@inoue.t@drjoy.jp 
おそらく反映できる時点は「通話ID」がsyscallidになって、callidと認識されなかったからです。
inoue.t@drjoy.jp さんに再割り当てしました
Reply:
	@inoue.t@drjoy.jp 
上記の件とは関係ないのですが、コンテキストを設定するとき、以下のツールでjsonフォーマットが正しいかどうか確認できますので。ご利用ください。
https://jsonlint.com/
</t>
      </text>
    </comment>
    <comment authorId="7" xr:uid="{ee73d46b-ec99-4099-a859-0667755e3e6a}" ref="F29">
      <text>
        <t xml:space="preserve">[Threaded comment]
 Your version of Excel allows you to read this threaded comment; however, any edits to it will get removed if the file is opened in a newer version of Excel. Learn more: https://go.microsoft.com/fwlink/?linkid=870924
Comment:
	@thanh.pham@drjoy.vn さん
@sumi.k@drjoy.jp さん
使用メモリ削減は、すぐすぐは難しいと思うので今後・・として。
ヒープメモリ（すみません初めて聞いた単語です）の増設は可能でしょうか。コスト等々に変化がある場合は、酒井さん相談をしたく。
sumi.k@drjoy.jp さんに割り当てました
Reply:
	@thanh.pham@drjoy.vn さん
先ほど会話しましたが、これ対応お願いします！
合計リアクション数: 1 件
ハルThanh さんが 2025-10-06 08:43 AMに 👍 でリアクションしました
thanh.pham@drjoy.vn さんに再割り当てしました
</t>
      </text>
    </comment>
    <comment authorId="8" xr:uid="{eebf0836-f7a8-4fff-a372-b8b5140c6560}" ref="F31">
      <text>
        <t xml:space="preserve">[Threaded comment]
 Your version of Excel allows you to read this threaded comment; however, any edits to it will get removed if the file is opened in a newer version of Excel. Learn more: https://go.microsoft.com/fwlink/?linkid=870924
Comment:
	@inoue.t@drjoy.jp
inoue.t@drjoy.jp さんに割り当てました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tc={3d3d27d9-58a5-41fe-9328-b0a61dc2c839}</author>
    <author>tc={57e6cc1b-a5c2-42e3-a6a8-06757eb86d4f}</author>
    <author>tc={5973a5c0-36e7-4dfe-be83-491df8f67225}</author>
    <author>tc={72ade5cc-b12d-4cea-a179-74a3b771453c}</author>
    <author>tc={7f456eba-73e5-474a-b6fe-b8d045804f6d}</author>
    <author>tc={8c70281d-6a81-4ef0-b053-755a269e0274}</author>
    <author>tc={fd6a875a-76b7-4187-8190-ddc1dfd88501}</author>
  </authors>
  <commentList>
    <comment authorId="0" xr:uid="{3d3d27d9-58a5-41fe-9328-b0a61dc2c839}" ref="P3">
      <text>
        <t xml:space="preserve">[Threaded comment]
 Your version of Excel allows you to read this threaded comment; however, any edits to it will get removed if the file is opened in a newer version of Excel. Learn more: https://go.microsoft.com/fwlink/?linkid=870924
Comment:
	検証(demo)環境
</t>
      </text>
    </comment>
    <comment authorId="1" xr:uid="{57e6cc1b-a5c2-42e3-a6a8-06757eb86d4f}" ref="O14">
      <text>
        <t xml:space="preserve">[Threaded comment]
 Your version of Excel allows you to read this threaded comment; however, any edits to it will get removed if the file is opened in a newer version of Excel. Learn more: https://go.microsoft.com/fwlink/?linkid=870924
Comment:
	開発環境
</t>
      </text>
    </comment>
    <comment authorId="2" xr:uid="{5973a5c0-36e7-4dfe-be83-491df8f67225}" ref="P14">
      <text>
        <t xml:space="preserve">[Threaded comment]
 Your version of Excel allows you to read this threaded comment; however, any edits to it will get removed if the file is opened in a newer version of Excel. Learn more: https://go.microsoft.com/fwlink/?linkid=870924
Comment:
	検証(demo)環境
</t>
      </text>
    </comment>
    <comment authorId="3" xr:uid="{72ade5cc-b12d-4cea-a179-74a3b771453c}" ref="N4">
      <text>
        <t xml:space="preserve">[Threaded comment]
 Your version of Excel allows you to read this threaded comment; however, any edits to it will get removed if the file is opened in a newer version of Excel. Learn more: https://go.microsoft.com/fwlink/?linkid=870924
Comment:
	1. モジュールで選択した言語
2. 図1のIVR設定のプロパティ
3. 図1のIVR設定の言語
</t>
      </text>
    </comment>
    <comment authorId="4" xr:uid="{7f456eba-73e5-474a-b6fe-b8d045804f6d}" ref="Q14">
      <text>
        <t xml:space="preserve">[Threaded comment]
 Your version of Excel allows you to read this threaded comment; however, any edits to it will get removed if the file is opened in a newer version of Excel. Learn more: https://go.microsoft.com/fwlink/?linkid=870924
Comment:
	本番環境
</t>
      </text>
    </comment>
    <comment authorId="5" xr:uid="{8c70281d-6a81-4ef0-b053-755a269e0274}" ref="Q3">
      <text>
        <t xml:space="preserve">[Threaded comment]
 Your version of Excel allows you to read this threaded comment; however, any edits to it will get removed if the file is opened in a newer version of Excel. Learn more: https://go.microsoft.com/fwlink/?linkid=870924
Comment:
	本番環境
</t>
      </text>
    </comment>
    <comment authorId="6" xr:uid="{fd6a875a-76b7-4187-8190-ddc1dfd88501}" ref="O3">
      <text>
        <t xml:space="preserve">[Threaded comment]
 Your version of Excel allows you to read this threaded comment; however, any edits to it will get removed if the file is opened in a newer version of Excel. Learn more: https://go.microsoft.com/fwlink/?linkid=870924
Comment:
	開発環境
</t>
      </text>
    </comment>
  </commentList>
</comments>
</file>

<file path=xl/sharedStrings.xml><?xml version="1.0" encoding="utf-8"?>
<sst xmlns="http://schemas.openxmlformats.org/spreadsheetml/2006/main" count="1343" uniqueCount="699">
  <si>
    <t>カテゴリ</t>
  </si>
  <si>
    <t>チェックポイント</t>
  </si>
  <si>
    <t>確認内容</t>
  </si>
  <si>
    <t>担当者名</t>
  </si>
  <si>
    <t>進捗</t>
  </si>
  <si>
    <t>備考</t>
  </si>
  <si>
    <t>連携関連</t>
  </si>
  <si>
    <t>Twilio↔ブレケケ接続確認</t>
  </si>
  <si>
    <t>Twilioの番号がPBXで使えるか</t>
  </si>
  <si>
    <t>角さん</t>
  </si>
  <si>
    <t>API送信可否</t>
  </si>
  <si>
    <t>通話内で聴取した内容を変数定義してAPI送信する</t>
  </si>
  <si>
    <t>無音検知</t>
  </si>
  <si>
    <t>AmiVoiceでは0.5秒で送信される。回避方法があるか</t>
  </si>
  <si>
    <t>AIサーバーとのAPI連携</t>
  </si>
  <si>
    <t>AI応答処理とPBXの接続確認（OpenAI等）認識→AI判断→TTS応答の流れが動作するか</t>
  </si>
  <si>
    <t>音声認識エンジン連携</t>
  </si>
  <si>
    <t>Google　TTSとの連携　SSML利用の確認</t>
  </si>
  <si>
    <t>AmiVoice　adminとの辞書連携</t>
  </si>
  <si>
    <t>基本的操作</t>
  </si>
  <si>
    <t>フローの編集・保存・複製が可能か</t>
  </si>
  <si>
    <t>CS,TS</t>
  </si>
  <si>
    <t>完了</t>
  </si>
  <si>
    <t>可能</t>
  </si>
  <si>
    <t>新エンジン移行PJ ＞Commbo/自社AI/ブレケケ比較シート</t>
  </si>
  <si>
    <t>辞書登録の可否</t>
  </si>
  <si>
    <t>不明</t>
  </si>
  <si>
    <t>病院ごとの電話設定や転送設定が操作可能か</t>
  </si>
  <si>
    <t>電話番号をどこで指定するのか。</t>
  </si>
  <si>
    <t>通話音質や遅延の有無を評価</t>
  </si>
  <si>
    <t>お問い合わせ内容で切り分け必要項目を聴取の流れ</t>
  </si>
  <si>
    <t>夜間の着信時に案内ガイダンスが再生されるか</t>
  </si>
  <si>
    <t>調査</t>
  </si>
  <si>
    <t>楽天等の050電話番号の調査</t>
  </si>
  <si>
    <t>楽天など050番号を発行している業者の調査及びＭＴＧの設定</t>
  </si>
  <si>
    <t>井上さん</t>
  </si>
  <si>
    <t>楽天へ問合せ済み</t>
  </si>
  <si>
    <r>
      <rPr>
        <color rgb="FF1155CC"/>
        <u/>
      </rPr>
      <t>050比較</t>
    </r>
    <r>
      <rPr/>
      <t>シートで記載。楽天でよさそう。</t>
    </r>
  </si>
  <si>
    <t>●御社専用フォルダ</t>
  </si>
  <si>
    <t>**********************************</t>
  </si>
  <si>
    <t>ライセンス番号</t>
  </si>
  <si>
    <t>http://gofile.me/3B4nF/l0S8Lhmck</t>
  </si>
  <si>
    <t>アクセスアカウント情報</t>
  </si>
  <si>
    <t>PBX（1台目）：BR033CJ200002436</t>
  </si>
  <si>
    <t>ユーザー：</t>
  </si>
  <si>
    <t>dr-joy</t>
  </si>
  <si>
    <t>PBX（2台目）：BRDC65J200002437</t>
  </si>
  <si>
    <t>●Brekeke PBX関連（代理店共通）</t>
  </si>
  <si>
    <t>パスワード：</t>
  </si>
  <si>
    <t>YJCJ78uHECW9</t>
  </si>
  <si>
    <t>http://gofile.me/3B4nF/Y2AuRPZxN</t>
  </si>
  <si>
    <t>PBX（開発用：1台目）：BR2524J200002438</t>
  </si>
  <si>
    <t>PBX（開発用：2台目）：BRFA7DJ200002439</t>
  </si>
  <si>
    <t>●Brekeke ITSPゲートウェイ関連（代理店共通）</t>
  </si>
  <si>
    <t>http://gofile.me/3B4nF/zkZygNrnb</t>
  </si>
  <si>
    <t>PBX（検証用；1台目）：BRC700J200002440</t>
  </si>
  <si>
    <t>PBX（検証用：2台目）：BR1859J200002441</t>
  </si>
  <si>
    <t>●Brekeke UC関連（代理店共通）</t>
  </si>
  <si>
    <t>http://gofile.me/3B4nF/VVMeNXfCL</t>
  </si>
  <si>
    <t>●Brekeke コンタクトセンター関連</t>
  </si>
  <si>
    <t>http://gofile.me/3B4nF/gvRioOFiQ</t>
  </si>
  <si>
    <t>Brekeke PBX 構成図</t>
  </si>
  <si>
    <t>環境ごとのID/PW/IP addressなど</t>
  </si>
  <si>
    <t>#</t>
  </si>
  <si>
    <t>ステータス</t>
  </si>
  <si>
    <t>起票者</t>
  </si>
  <si>
    <t>起票日</t>
  </si>
  <si>
    <t>内容</t>
  </si>
  <si>
    <t>回答者</t>
  </si>
  <si>
    <t>回答</t>
  </si>
  <si>
    <t>黒岩彩</t>
  </si>
  <si>
    <t>携帯からかけて、「次に、ご連絡先のお電話番号をお伺いします。連絡先の番号はいまおかけいただいている電話番号でよろしいでしょうか？」に対して、
「いや、別の番号にお願いします。」と発話したところ、肯定でも否定でもなく、そのまま次に進んでしまった。</t>
  </si>
  <si>
    <t>井上卓哉</t>
  </si>
  <si>
    <r>
      <rPr>
        <rFont val="Arial"/>
        <color theme="1"/>
      </rPr>
      <t xml:space="preserve">携帯電話番号からの着信に対して、「違う番号にお願いします」という発話が「はい」「いいえ」のいずれにも分岐できなかったことが原因でした！！　
以下、修正済みです。　
</t>
    </r>
    <r>
      <rPr>
        <rFont val="Arial"/>
        <b/>
        <color theme="1"/>
        <u/>
      </rPr>
      <t>修正前</t>
    </r>
    <r>
      <rPr>
        <rFont val="Arial"/>
        <color theme="1"/>
      </rPr>
      <t xml:space="preserve">
・携帯電話からの着信
・070,080,090から始まる11桁の電話番号である
　「次に、ご連絡先のお電話番号をお伺いします。連絡先の番号はいまおかけいただいている電話番号でよろしいでしょうか？」
　　┣ Yes → そのまま進む
　　└ No → それ以外であるのガイダンスへ接続
・それ以外である
　「次に、ご連絡先のお電話番号をお伺いします。携帯電話番号、または0から始まる市外局番からお話ください。」
</t>
    </r>
    <r>
      <rPr>
        <rFont val="Arial"/>
        <b/>
        <color theme="1"/>
        <u/>
      </rPr>
      <t>修正後</t>
    </r>
    <r>
      <rPr>
        <rFont val="Arial"/>
        <color theme="1"/>
      </rPr>
      <t xml:space="preserve">
・携帯電話からの着信
・070,080,090から始まる11桁の電話番号である
　「次に、ご連絡先のお電話番号をお伺いします。連絡先の番号はいまおかけいただいている電話番号でよろしいでしょうか？「はい、そうです」「いいえ違います」のいずれかでお話しください」
　　┣ Yes → そのまま進む
　　┣ No → それ以外であるのガイダンスへ接続
　　└ それ以外 → 「うまく聞き取れませんでした」と発話後、それ以外であるのガイダンスへ接続
・それ以外である
　「次に、ご連絡先のお電話番号をお伺いします。携帯電話番号、または0から始まる市外局番からお話ください。」</t>
    </r>
  </si>
  <si>
    <t>TS確認、TS対応中</t>
  </si>
  <si>
    <t>杉本尚士</t>
  </si>
  <si>
    <r>
      <rPr/>
      <t xml:space="preserve">聞き取りがうまくいっていないみたいです。
1回目　名前を教えてくださいのあと名前を言っても無音
2回目　要件の聞き取りまで進めたけど「予約について」を聞き取ってもらえず。待ってたら「うまく聞き取りができませんでした」
</t>
    </r>
    <r>
      <rPr>
        <color rgb="FF1155CC"/>
        <u/>
      </rPr>
      <t>3回目 名前をうまく聞き取れずその先がおかしい、その時の選択肢の質問を立て続けに発話されました。</t>
    </r>
  </si>
  <si>
    <r>
      <rPr/>
      <t xml:space="preserve">①名前を言っても無音
何の入力もありませんでした。雑音などの影響かもしれないので、ＶＡＤ閾値を0.85へ上げてみました（氏名聞き取りのみ）
②氏名のヒアリングで長時間待った後に、何の入力もなしに終話まで駆け抜けてしまっている。
→角さんにて一度確認。解消できなければブレケケへ詳細ログ確認依頼を投げる
08044252889から午後04:20:45 にかけたコールの挙動がおかしいです。
何かこちらで設定を誤っておりますでしょうか。
→同様他事象ですが、同様に入力を受け付けずに次へ進んでしまいましたので、ブレケケに確認しました。
　</t>
    </r>
    <r>
      <rPr>
        <color rgb="FF1155CC"/>
        <u/>
      </rPr>
      <t xml:space="preserve">ブレケケからの回答
</t>
    </r>
    <r>
      <rPr/>
      <t xml:space="preserve">　「NO_RESULT」となっているのでリトライに進んでいます。モジュールの処理を確認してください。
</t>
    </r>
  </si>
  <si>
    <t>内容（〇〇であるべきだが△△になっている）</t>
  </si>
  <si>
    <t>始める予定だが始まっていないもの</t>
  </si>
  <si>
    <t>開始予定日が今日以前である未着手</t>
  </si>
  <si>
    <t>jackfruitで開発</t>
  </si>
  <si>
    <t>もうそろ終わらねばらないが大丈夫か確認するもの</t>
  </si>
  <si>
    <t>終了予定日が3日以内だが完了していないもの</t>
  </si>
  <si>
    <t>優先順位</t>
  </si>
  <si>
    <t>期限切れ。スケジュール引き直しが必要かを確認する。</t>
  </si>
  <si>
    <t>終了予定日が昨日以前だが完了していないもの</t>
  </si>
  <si>
    <t>開発orテスト</t>
  </si>
  <si>
    <t>分類</t>
  </si>
  <si>
    <t>タスク名</t>
  </si>
  <si>
    <t>概要</t>
  </si>
  <si>
    <t>担当者</t>
  </si>
  <si>
    <t>優先度</t>
  </si>
  <si>
    <t>チケットＵＲＬ</t>
  </si>
  <si>
    <t>状態</t>
  </si>
  <si>
    <t>遅延有無</t>
  </si>
  <si>
    <t>開始予定日</t>
  </si>
  <si>
    <t>開始日</t>
  </si>
  <si>
    <t>終了予定日</t>
  </si>
  <si>
    <t>終了日</t>
  </si>
  <si>
    <t>成果物リンク</t>
  </si>
  <si>
    <t>終了予定日が3日以内</t>
  </si>
  <si>
    <t>終了予定日が昨日以前</t>
  </si>
  <si>
    <t>開始日が今日以前</t>
  </si>
  <si>
    <t>開発</t>
  </si>
  <si>
    <t>モジュール開発</t>
  </si>
  <si>
    <t>アミボイス用音声認識モジュールの新規開発</t>
  </si>
  <si>
    <t xml:space="preserve">Burekeke内のアミボイス音声認識モジュールの作成。辞書・エンティティ対応含む。
氏名用音声認識モジュールについても作成する
</t>
  </si>
  <si>
    <t>角</t>
  </si>
  <si>
    <t>高</t>
  </si>
  <si>
    <t>https://redmine.famishare.jp/issues/206442</t>
  </si>
  <si>
    <t>オンスケ</t>
  </si>
  <si>
    <t>通常と名前用を分けて作成した方がよい。</t>
  </si>
  <si>
    <t>アミボイス用氏名用音声認識モジュールの新規開発</t>
  </si>
  <si>
    <t>アミボイスの氏名用エンジン専用</t>
  </si>
  <si>
    <t>↑に含む</t>
  </si>
  <si>
    <t>OpenAI連携モジュールの開発</t>
  </si>
  <si>
    <t>Burekeke内でOpenAI API連携モジュールを作成する処理（レスポンス取得）</t>
  </si>
  <si>
    <t>ベトナム</t>
  </si>
  <si>
    <t>低</t>
  </si>
  <si>
    <t>https://redmine.famishare.jp/issues/206448</t>
  </si>
  <si>
    <t>遅延あり</t>
  </si>
  <si>
    <t>■9/8
モジュール作成完了
※ドキュメント作成中
■9/4
バグ発生中、原因は分かった。修正方法がわからない。（9/5完了予定）
■
開発: ~4日
テスト: ~2日
OpenAIのAssistant APIを呼び出すためのモジュール
※中身はAssistant次第。</t>
  </si>
  <si>
    <t>データベース書き込み／読込モジュール</t>
  </si>
  <si>
    <t>発話内容や認識結果をDBに保存・後続処理で再利用するためのモジュール。</t>
  </si>
  <si>
    <t>ベトナム+角</t>
  </si>
  <si>
    <t>https://redmine.famishare.jp/issues/206443</t>
  </si>
  <si>
    <t xml:space="preserve">■9/9
一定解消したが、まだ理想のスピードではない。
■9/8
モジュールは作成できたが、書き込み速度が遅いため修正中。
※9/8 終了見込み
</t>
  </si>
  <si>
    <t>インフラ構築</t>
  </si>
  <si>
    <t>PBXシステムの仮想基盤へのインストール</t>
  </si>
  <si>
    <t>OCIで別サーバー立てる。ゾーン（別ラックのサーバ）を別にする。</t>
  </si>
  <si>
    <t>中</t>
  </si>
  <si>
    <t>https://redmine.famishare.jp/issues/206446</t>
  </si>
  <si>
    <t>9/9　ブレケケに世照り本番環境は設定された。
検証+開発の2環境を角さんにて構築いただく。
-------------
アプリが着次第
※2-3日
1ライセンスでOCIの中での分割は可能。
※事前準備は1時間程度。</t>
  </si>
  <si>
    <t>冗長化設計</t>
  </si>
  <si>
    <t>OpenAI APIのフェールオーバー構成</t>
  </si>
  <si>
    <t>OpenAIが落ちた場合にAzureやローカルAIへ切り替える冗長モジュール設計。</t>
  </si>
  <si>
    <t>https://redmine.famishare.jp/issues/206450</t>
  </si>
  <si>
    <t>9月に工数が足りないため、10月に対応させていただきます。</t>
  </si>
  <si>
    <t>API連携（受付日時画面へのアクセス）</t>
  </si>
  <si>
    <t>ブレケケがDr.JOYへ現在時間が受付時間かどうかを問い合わせ、Dr.JOYからの回答を受け取って判別させる。</t>
  </si>
  <si>
    <t>https://redmine.famishare.jp/issues/206451</t>
  </si>
  <si>
    <t>Done</t>
  </si>
  <si>
    <t>API連携（Dr.JOYへ結果を送る）</t>
  </si>
  <si>
    <t>ブレケケが今回のコールIDとともにDr.JOYへ結果をまとめて連携する</t>
  </si>
  <si>
    <t>https://redmine.famishare.jp/issues/206452</t>
  </si>
  <si>
    <t>■9/12　完了（角さん確認）
■9/10
AmiVoiceのモジュールでヒアリングした結果のJSONでどこに格納されているかがわからなかった。
→data（抽出して正規化できた）、transcribe（抽出して正規化できなかったので全文）
■9/9
データ送信はできているはずだが、通話詳細画面の左側が空白になっている。
（9/10までに調査をする）
9/8: 今日中にコンテキストと通話履歴の反映を完了する予定で、音声ファイルの反映は今週中対応します。
【AI電話事業部】障害緊急対応チェックリスト_2025○○　B列：Office ID一覧。
2025/08/26 → 2025/09/08
Brekeke PBX Webhook プラグイン</t>
  </si>
  <si>
    <t>何を開発すべきかの調査も含む</t>
  </si>
  <si>
    <t>API連携（Dr.JOYへ録音データを送る）</t>
  </si>
  <si>
    <t>ブレケケが今回のコールIDとともにDr.JOYへ音声データを連携する</t>
  </si>
  <si>
    <t>https://redmine.famishare.jp/issues/206453</t>
  </si>
  <si>
    <t>角さん側で対応する Asterisk 基盤の録音・着信ログ保存の開発が完了したら、こちらのタスクの見積もりを行います。</t>
  </si>
  <si>
    <t>API連携（FAQ検索）</t>
  </si>
  <si>
    <t>RAGでFAQの検索
※Dr.JOYが回答時にSSMLをつける</t>
  </si>
  <si>
    <t>https://redmine.famishare.jp/issues/206455</t>
  </si>
  <si>
    <t>■9/5
モジュール作成完了
※ドキュメント作成予定
■9/4
バグ発生中、原因は分かった。修正方法がわからない。（9/5完了予定）
■
開発: ~3日
テスト: ~2日
ユーザーからの入力を元にDr.JOYに登録されているFAQを参照して、適切な回答を作成して出力するためのモジュール</t>
  </si>
  <si>
    <t>API</t>
  </si>
  <si>
    <t>API（録音データ）</t>
  </si>
  <si>
    <t>DrJOYがFirebaseにある音声情報を参照して再生できる。</t>
  </si>
  <si>
    <t>音声ファイルを Dr.JOY 画面に反映できましたが、ヘッドホンで確認したところ、右側からは AI の音声、左側からはユーザーの音声が聞こえる状態となっております。
Firebase で確認したところ、元のファイルも同様の状態でした。
お手数をおかけいたしますが、角さんにて修正いただけますでしょうか。</t>
  </si>
  <si>
    <r>
      <rPr>
        <rFont val="Arial"/>
        <color theme="1"/>
      </rPr>
      <t xml:space="preserve">転送用モジュールの開発
</t>
    </r>
    <r>
      <rPr>
        <rFont val="Arial"/>
        <strike/>
        <color theme="1"/>
      </rPr>
      <t>API連携（転送先確認）</t>
    </r>
  </si>
  <si>
    <t xml:space="preserve">Dr.JOYの転送先設定
第二世代の二つ目の利用方法をベースに以下を追加してほしい。
要件1、転送待ち時間の設定が可能
要件2、「ブラインド（転送成功時に何も発話せずに終了する）」「アテンデット（「転送成功」時のアナウンス内容の設定が可能）」が選択可能
要件3、「転送失敗」時の発話指定が可能
要件4、「転送成功」「転送失敗」での分岐が可能
</t>
  </si>
  <si>
    <t>https://redmine.famishare.jp/issues/206456</t>
  </si>
  <si>
    <t>ブレケケの標準機能で転送可能であることは井上確認済み。</t>
  </si>
  <si>
    <t>Dr.JOY</t>
  </si>
  <si>
    <t>AI電話にタブ追加</t>
  </si>
  <si>
    <r>
      <rPr>
        <rFont val="Arial"/>
        <color theme="1"/>
      </rPr>
      <t>Commubo、Dr.JOY、</t>
    </r>
    <r>
      <rPr>
        <rFont val="Arial"/>
        <b/>
        <color theme="1"/>
      </rPr>
      <t>Brekeke</t>
    </r>
    <r>
      <rPr>
        <rFont val="Arial"/>
        <color theme="1"/>
      </rPr>
      <t>を新規作成
項目はシナリオ名と電話番号のみの想定</t>
    </r>
  </si>
  <si>
    <t>https://redmine.famishare.jp/issues/206457</t>
  </si>
  <si>
    <r>
      <rPr>
        <rFont val="Arial"/>
        <color rgb="FF000000"/>
      </rPr>
      <t xml:space="preserve">■9/10
</t>
    </r>
    <r>
      <rPr>
        <rFont val="Arial"/>
        <b/>
        <color rgb="FFFF0000"/>
      </rPr>
      <t>→Admin画面では、電話番号ではなく「その施設でユニークなシナリオ名」と「BrekekePBXのIVR内線番号」と「BrekekePBXのテナント名</t>
    </r>
    <r>
      <rPr>
        <rFont val="Arial"/>
        <color rgb="FF000000"/>
      </rPr>
      <t xml:space="preserve">」を保存する
■9/5
9/5完了予定
■9/2
修正前　Admin画面では、電話番号ではなく「その施設でユニークなシナリオ名」と「BrekekePBXのDeployTo番号」を保存する必要があります。
→Admin画面では、電話番号ではなく「その施設でユニークなシナリオ名」と「BrekekePBXのDeployTo番号」と「BrekekePBXのテナント名」を保存する必要があります。
■8/29
チケット更新されています。修正、お願いします。
■8/28
杉本さんのチケット更新待ち
～～～～～～～～～～～～～～～～～
■8/25
フロンドエンドは完了。
バックエンドのチェック中。8/25に反映予定
→STTの名前を変更して、外国語対応を表に出す。
→「単語・イントネーション」を「イントネーション」に変更
～～～～～～～～～～～～～～～～～
開発: ~2日
テスト: ~2日
</t>
    </r>
    <r>
      <rPr>
        <rFont val="Arial"/>
        <color rgb="FF000000"/>
        <u/>
      </rPr>
      <t>Admin画面では、電話番号ではなく「その施設でユニークなシナリオ名」と「BrekekePBXのDeployTo番号」を保存する必要があります。</t>
    </r>
    <r>
      <rPr>
        <rFont val="Arial"/>
        <color rgb="FF000000"/>
      </rPr>
      <t xml:space="preserve">
ブレケケでは、シナリオ作成時にユニークな内線番号を設定し、その番号と、電話番号登録時のDeployTo番号が一致することで、シナリオと電話番号が紐づけられる仕組みになっています。
</t>
    </r>
  </si>
  <si>
    <t>Looker連携</t>
  </si>
  <si>
    <t>※詳細はコメント記載
Brekekeの通話履歴をLookerで読める状態にする
【Dr.JOY】ブレケケ様 お打ち合わせの日程調整
メール抜粋
CDRという通話ログを吐出す（DBも可）機能がございます。
代理店様毎にサービス独自の考え方で明細アプリを作っていただいております。
SIP Server → CDR　の設定項目がそれに該当します。</t>
  </si>
  <si>
    <t>https://redmine.famishare.jp/issues/209936</t>
  </si>
  <si>
    <r>
      <rPr>
        <rFont val="Arial"/>
        <color theme="1"/>
      </rPr>
      <t>9/8：9/9開始予定。終了予定日は9/12予定。
請求に必要な情報のみ（現行自社エンジンと同様）
ハルThanh</t>
    </r>
    <r>
      <rPr>
        <rFont val="Arial"/>
        <color rgb="FF0000FF"/>
      </rPr>
      <t xml:space="preserve"> 
Các trường khác đã đẩy được lên Looker
Còn 1 trường SĐT tiếp nhận của bệnh viện Dr,JOY đang không có chỗ nào lưu để hiển thị lên looker (sđt này đang chỉ setting trên Brekeke) → cần thêm 1trường vào setting AM0003 để lưu</t>
    </r>
  </si>
  <si>
    <t>神田さんチケット？</t>
  </si>
  <si>
    <t>コメント全項目</t>
  </si>
  <si>
    <t>録音プラグインの開発</t>
  </si>
  <si>
    <t>9/2 or 9/3には開始予定。</t>
  </si>
  <si>
    <t>環境</t>
  </si>
  <si>
    <t>契約</t>
  </si>
  <si>
    <t>ブレケケとの契約</t>
  </si>
  <si>
    <t>井上</t>
  </si>
  <si>
    <t xml:space="preserve">■9/8
ブレケケから本番環境できた連絡来ました！！
→杉本さんから角さんへ明日出勤されたらお伝え願います。
　サブスクリプション利用数一覧20250908.xlsx
　利用にあたっての必要情報
■9/5
9/8（月）にブレケケの本番環境ができる。
9/8（月）に「開発」と「検証」の2ライセンスが発行される。
■9/4
完了（9/5で構築完了するのかを追加確認）
9/2
ドメイン：pbx.drjoy.jp
最短：9/5（金）
遅くとも：9/8（月）にはブレケケの本番環境ができている。
9/3には発注書と、PBX構築サーバの必要情報をブレケケへ渡す。
→ブレケケは環境構築に2日欲しいと言っているため。
9/1
契約書が9/2にブレケケから返送される予定。
受領次第、発注書をブレケケへ送付したらいろいろ開始できるようになります。
・有償申込→9/5までにメーカーサポートで検証環境と同様のものが構築される予定（最短）
</t>
  </si>
  <si>
    <t>開発環境用に追加1ライセンス購入</t>
  </si>
  <si>
    <t>1ライセンスでOCIの中での分割は可能。</t>
  </si>
  <si>
    <t>楽天との契約</t>
  </si>
  <si>
    <t>■9/4
完了
楽天050-250724B2BOGデモアカウント.xlsx
→商談用デモ（固定シナリオ、アドベンチスト、多摩総）3つ使う
　多摩総の本番 4つ目
　残 1。
9/3利用開始想定で申込書送付済み
※以下件名メール参照
　【依頼】楽天050契約書の送付依頼_DrJOY</t>
  </si>
  <si>
    <t>デモ画面</t>
  </si>
  <si>
    <t>井上・杉本　→酒井さんへ確認
9月リリースの優先順位
　1.通話ができる
　2.ログがDr.JOYに反映される
　3.録音がDr.JOYに連携され再生できる
デモや開発環境でもよいが、その後の緊急リリースで9月中に出来上がっていて、10月の商談に利用できること。</t>
  </si>
  <si>
    <t>本番画面</t>
  </si>
  <si>
    <t>設定</t>
  </si>
  <si>
    <t>テスト-フロー設定・確認</t>
  </si>
  <si>
    <t>テスト-転送設定・確認</t>
  </si>
  <si>
    <t xml:space="preserve"> </t>
  </si>
  <si>
    <t>8/25追記
ブレケケへの質問へ回答あり。再テスト予定。</t>
  </si>
  <si>
    <t>テスト-ＳＭＳ設定</t>
  </si>
  <si>
    <t>１２行目のモジュールが作成完了したらSMS送信可能になる。
※SMS hanaはキャリア問わずに利用可能なので楽天だから云々ということは起きない。</t>
  </si>
  <si>
    <t>アドベンチストフロー設定・確認</t>
  </si>
  <si>
    <t>着手中</t>
  </si>
  <si>
    <t>9/9
ブレケケへ追加質問投げました。
9/8：開始予定日が9/8だが、9/12開始予定。
・「スケジュール転送」と「着信電話番号の取得」が解消できていない。</t>
  </si>
  <si>
    <t>アドベンチスト転送設定・確認</t>
  </si>
  <si>
    <t>アドベンチストＳＭＳ設定</t>
  </si>
  <si>
    <t>ヘルスケアクリニック厚木フロー設定・確認</t>
  </si>
  <si>
    <t>ヘルスケアクリニック厚木転送設定・確認</t>
  </si>
  <si>
    <t>不要</t>
  </si>
  <si>
    <t>ヘルスケアクリニック厚木ＳＭＳ設定</t>
  </si>
  <si>
    <t>予約枠との繋ぎこみ</t>
  </si>
  <si>
    <r>
      <rPr/>
      <t xml:space="preserve">最短１０月以降
</t>
    </r>
    <r>
      <rPr>
        <color rgb="FF1155CC"/>
        <u/>
      </rPr>
      <t>https://docs.google.com/presentation/d/1HPiywtqEU5FntCoQNVGGLmSSAC7JAL4lzzOJviNfJp0/edit?slide=id.g383cb365e03_0_2#slide=id.g383cb365e03_0_2</t>
    </r>
  </si>
  <si>
    <t>杉本→ベトナム</t>
  </si>
  <si>
    <t>確認中</t>
  </si>
  <si>
    <t>杉本さん/鬼塚さんにてテスト実行中
残：ドキュメントの日本語ローカライズのみ</t>
  </si>
  <si>
    <t>通知元読み上げ機能</t>
  </si>
  <si>
    <r>
      <rPr/>
      <t xml:space="preserve">最短１０月以降
</t>
    </r>
    <r>
      <rPr>
        <color rgb="FF1155CC"/>
        <u/>
      </rPr>
      <t>https://platform.openai.com/assistants/edit?assistant=asst_zCmrlgBSO6X54XXakb2Ee1et&amp;thread=thread_tEQoUkyY60eDXLqYB9gmpj1G</t>
    </r>
  </si>
  <si>
    <t>杉本</t>
  </si>
  <si>
    <t>https://redmine.famishare.jp/issues/217874</t>
  </si>
  <si>
    <t>Commuboでいう"顧客"機能。
Dr.JOYに"電話帳"を作成して、読みにいかせるそうてい。</t>
  </si>
  <si>
    <t>任意のタイミングでBrekekeの通話結果をDrJOYへデータ送信ができるモジュール</t>
  </si>
  <si>
    <t>https://redmine.famishare.jp/issues/212757</t>
  </si>
  <si>
    <t>フロー上にコンテキスト一覧を定義するためのモジュールを作成する</t>
  </si>
  <si>
    <t>https://redmine.famishare.jp/issues/212950</t>
  </si>
  <si>
    <t>Dr.JOY画面上にコンテキストのデータを表示するために、comuboまたは自社エンジンのように、コンテキスト一覧の定義が必要です。
フロー上の方が操作しやすいので、フロー上でコンテキスト一覧を定義するモジュールを追加します。</t>
  </si>
  <si>
    <t>SSL対応</t>
  </si>
  <si>
    <t>★予約枠との紐づけモジュールの作成</t>
  </si>
  <si>
    <t>ベトナム(Dev910)、杉本</t>
  </si>
  <si>
    <t>https://redmine.famishare.jp/issues/217968
https://redmine.famishare.jp/issues/217969</t>
  </si>
  <si>
    <t>一旦杉本さんにてデータのやり取りについて検討する</t>
  </si>
  <si>
    <t>AIにつなぎ複数回往復する方法の調査</t>
  </si>
  <si>
    <t>https://redmine.famishare.jp/issues/218558</t>
  </si>
  <si>
    <t>★聞き取り音声のレベル正規化</t>
  </si>
  <si>
    <t>未着手</t>
  </si>
  <si>
    <t>★Amivoiceの氏名用エンジン</t>
  </si>
  <si>
    <t>★通話録音ファイルのMP3</t>
  </si>
  <si>
    <t>未来チケット</t>
  </si>
  <si>
    <t>(今じゃない)チェックポイント</t>
  </si>
  <si>
    <t>モジュール通過後、どの挙動をしたかがわかるようにしたい</t>
  </si>
  <si>
    <t>Dev1</t>
  </si>
  <si>
    <t>https://redmine.famishare.jp/issues/217139</t>
  </si>
  <si>
    <t>チェックポイントを作成しなくても対応が可能である。ということ・・です・・？？</t>
  </si>
  <si>
    <t>★コンテキストの取得</t>
  </si>
  <si>
    <t>前のモジュールで取得したコンテキストを条件に後の挙動の振り分け
コンテキスト複数での判定モジュール.pptx</t>
  </si>
  <si>
    <t>https://redmine.famishare.jp/issues/223894</t>
  </si>
  <si>
    <t xml:space="preserve">・要望（組み合わせは10個を上限に選択したい。一致、不一致の選択ができること）
G:\共有ドライブ\13_AI電話事業部\70_開発\99_その他\ブレケケへの変更\モジュールの希望\コンテキスト複数での判定モジュール.pptx
・Commuboの参考画像
</t>
  </si>
  <si>
    <t>転送時間（コール数？）の設定</t>
  </si>
  <si>
    <t>転送後、何秒（もしくは何コール）まで着信させるかの設定</t>
  </si>
  <si>
    <t>★着信元電話番号の振り分け設定</t>
  </si>
  <si>
    <t>固定/携帯/海外/非通知の振り分け</t>
  </si>
  <si>
    <t>https://redmine.famishare.jp/issues/218457</t>
  </si>
  <si>
    <t>DtmfとSTTの両立</t>
  </si>
  <si>
    <t>モジュール設定 - External Integration / DTMF AmiVoice STT Input - developing 20260116 (drjoy)
Devにモジュール作成済み</t>
  </si>
  <si>
    <t>https://redmine.famishare.jp/issues/228662</t>
  </si>
  <si>
    <t>12/29　患者発話の録音再生しようとすると、モジュールの音声出力の頭からになる。
https://develop.drjoy.famishare.jp/ha/ha0023/694129f63774eb0007d5e19a?scenarioId=68ccb7babb0d8a08ca9a6af4&amp;fromScreenHa0022=true
12/24　AmiVoiceがTIMEOUTする。原因確認中。
※どこか影響あったはず。</t>
  </si>
  <si>
    <t>★閾値</t>
  </si>
  <si>
    <t>ＡＩ発話中に会話受け入れを可とする設定
※AI発話中のバージイン（音声・DTMF）受け付けモジュール作成</t>
  </si>
  <si>
    <t>https://redmine.famishare.jp/issues/220580</t>
  </si>
  <si>
    <t>★エンティティのadmin登録</t>
  </si>
  <si>
    <t>エンティティをDr.JOYからもらう設定についてそもそもできるのかどうか
モジュールに識別子をつけて、admin側に識別子を指定します。
→全テナント云々を考え始めると定義ができなくなってしまうので、まずは第二世代同様にシナリオ単位でのレイヤーで、
　「単語登録（音声辞書）」「エンティティ（類義語からの名寄せ）」の開発をお願いできますでしょうか。
　※セットでmodule側にも呼び出す機能が必要になると思います。</t>
  </si>
  <si>
    <t>https://redmine.famishare.jp/issues/227702</t>
  </si>
  <si>
    <t>ベトナムがモジュール開発まで進んだタイミングで、杉本さん角さんへ開発手法を連絡。</t>
  </si>
  <si>
    <t>フローデザイナーの日々のバックアップを作成する。</t>
  </si>
  <si>
    <t>n8nの要件を定義する。</t>
  </si>
  <si>
    <t>★多言語対応の統合処理</t>
  </si>
  <si>
    <t>方向性確認。各モジュールで処理できるのか？</t>
  </si>
  <si>
    <t>角さん依頼済み</t>
  </si>
  <si>
    <t>厳しそう。第二世代がよさそう。</t>
  </si>
  <si>
    <t>★AmiVoice-STT</t>
  </si>
  <si>
    <t xml:space="preserve">音声タイプ：数値、生年月日、電話番号を選択したらコメント記載内容が単語登録リストに自動セットされてほしい。
</t>
  </si>
  <si>
    <t>優先度低の要望です。</t>
  </si>
  <si>
    <t>複数モジュールのセットテンプレート
※具体的な組み合わせと機能のイメージが煮詰まったら再掲</t>
  </si>
  <si>
    <t>音声、入力、復唱を一度で呼び出せるテンプレートの作成が可能か？
理想
　TTS　→ save-2db（文字おこし）
　STT　→ save-2db（コンテキスト格納）
　retry   → save-2db（文字おこし）
ブレケケ確認
複数のモジュールとサブモジュールのジャンプ設定を規定した、モジュールパレットのような利用方法はできるものか。
現実
11月リリース
「TTS」「復唱」「OpenAI」モジュール単体でコンテキスト格納 / 文字起こし機能が付きますＺｅ★</t>
  </si>
  <si>
    <t>★WEB RTC</t>
  </si>
  <si>
    <t>チケット作ります。</t>
  </si>
  <si>
    <t>https://redmine.famishare.jp/issues/218454</t>
  </si>
  <si>
    <t>調査中</t>
  </si>
  <si>
    <t>★着信元電話番号の読み上げ</t>
  </si>
  <si>
    <t>re-comfirmation nodedataモジュールに機能追加
→incomingphonenumberを復唱モジュールで読み上げる事ができるようにしてほしい。</t>
  </si>
  <si>
    <t>https://redmine.famishare.jp/issues/222840</t>
  </si>
  <si>
    <t>杉本さん、チケット作成お願いします！</t>
  </si>
  <si>
    <t>★着信元電話番号を元にふるまいの設定</t>
  </si>
  <si>
    <t>Dr.JOYの電話帳にブラックリスト/ホワイトリストなどのフラグ付機能を追加。
フラグを取得して分岐させられるようにする。※発話はその次のモジュールで指定する想定のため、単独機能。</t>
  </si>
  <si>
    <t>https://redmine.famishare.jp/issues/223895</t>
  </si>
  <si>
    <t>TTSの音声再生スピード
※イントネーションでカバー？</t>
  </si>
  <si>
    <t>発話スピード調整をＩＶＲプロパティで全体調整、モジュール単位でも調整可能に</t>
  </si>
  <si>
    <t>SSMLで&lt;speak&gt;&lt;prosody rate="1.2"&gt;&lt;/prosody&gt;&lt;/speak&gt;
- 数値（推奨）
　0.5（半分の速さ）、1.0（通常）、1.5（1.5倍）、
- パーセント
　50%、120%</t>
  </si>
  <si>
    <t>DTMFを受付、save-2dbに保存ができるもの</t>
  </si>
  <si>
    <t>https://redmine.famishare.jp/issues/224766</t>
  </si>
  <si>
    <t>Azure専用モジュール作成</t>
  </si>
  <si>
    <t>NTT東日本のため</t>
  </si>
  <si>
    <t>https://redmine.famishare.jp/issues/225561</t>
  </si>
  <si>
    <t>AI電話→オンライン予約への連携</t>
  </si>
  <si>
    <t>2月キックオフ、4月稼働開始予定の受注前施設で利用希望あり。（兵庫県予防医学協会の健診）</t>
  </si>
  <si>
    <t>https://redmine.famishare.jp/issues/240224</t>
  </si>
  <si>
    <r>
      <rPr/>
      <t>・真正会富山病院の予防接種で利用あり。</t>
    </r>
    <r>
      <rPr>
        <color rgb="FF1155CC"/>
        <u/>
      </rPr>
      <t>フロー資料</t>
    </r>
    <r>
      <rPr/>
      <t>とCommuboのシナリオ名を共有する。
→シナリオ名：【0058真生会富山病院】予防接種1_M_本番
・兵庫県予防医学協会のフローが出たら共有する。
①コース * 会場 * 保険者 の組み合わせでAI電話とオンライン予約の連携
　オンライン予約の画面をどう作りたいのかがまったくイメージできない。
②複数名分を1回の電話で取得できるか
　現状不可。再入電依頼。
③期間がファジーな指定で空き枠確認だったときに対応できるか
　現実的ではないので、リンク送信して確認してもらうがベター。</t>
    </r>
  </si>
  <si>
    <t>AI電話→オンライン予約画面の参照のみ</t>
  </si>
  <si>
    <t>予約枠を参照して、該当日に空きがあるかどうかを確認する。
　受付締切以前である → false
　受付締切以降 かつ 診療日ではない → false
　受付締切以降 かつ 診療日である かつ 空きがある → true
　受付締切以降 かつ 診療日である かつ 空きがない → false
※その日が病院の診療日として受けてよいかどうかだけを判断させたい</t>
  </si>
  <si>
    <r>
      <rPr/>
      <t xml:space="preserve">Dev1
</t>
    </r>
    <r>
      <rPr>
        <color rgb="FF1155CC"/>
        <u/>
      </rPr>
      <t xml:space="preserve">https://redmine.famishare.jp/issues/236905 </t>
    </r>
    <r>
      <rPr/>
      <t xml:space="preserve">
Dev9
</t>
    </r>
    <r>
      <rPr>
        <color rgb="FF1155CC"/>
        <u/>
      </rPr>
      <t>https://redmine.famishare.jp/issues/236906</t>
    </r>
  </si>
  <si>
    <t xml:space="preserve">Input
指定したモジュール（STTやOpenAIやDTMF）の出力結果
</t>
  </si>
  <si>
    <t>OpenAI モジュールの仕様追加</t>
  </si>
  <si>
    <r>
      <rPr>
        <rFont val="Arial"/>
        <color theme="1"/>
      </rPr>
      <t xml:space="preserve">入力枠を追加、プロンプトとJSONスキーマを書けるようにする。
OpenAIにプロンプトとJSONスキーマとユーザーの入力を渡す。
OpenAIからの返答から、JSONスキーマの必要範囲のみを抽出して、結果として出力する。
現在
　プロンプト
依頼
　プロンプト
　JSON スキーマ
・Temprature と TopPは0.01になっている。で相違ありませんか？
</t>
    </r>
    <r>
      <rPr>
        <rFont val="Arial"/>
        <color rgb="FFFF0000"/>
      </rPr>
      <t>➝現在OpenAI APIにはデフォルトで「Temprature=1」と「TopP=1」で設定されています。</t>
    </r>
    <r>
      <rPr>
        <rFont val="Arial"/>
        <color theme="1"/>
      </rPr>
      <t xml:space="preserve">
・そういえば、GPTのモデルに4.1とお願いしましたが、5.1instanceの利用は不可能でしょうか。
</t>
    </r>
    <r>
      <rPr>
        <rFont val="Arial"/>
        <color rgb="FFFF0000"/>
      </rPr>
      <t xml:space="preserve">➝はい、5.1instanceに変更可能ですが、リリースが必要です。
　またOpenAIモジュールにTemprature 、TopP、モデルを設定するためのテキストボックスを追加し、任意で選択することも可能です。
ご検討のほどよろしくお願いします。
</t>
    </r>
    <r>
      <rPr>
        <rFont val="Arial"/>
        <color theme="1"/>
      </rPr>
      <t xml:space="preserve">　
</t>
    </r>
    <r>
      <rPr>
        <rFont val="Arial"/>
        <b/>
        <color rgb="FFFF0000"/>
      </rPr>
      <t>→1月定期リリース：OpenAIモジュールにTemprature 、TopP、モデルを設定するためのテキストボックスを追加
→12月定期リリース：Temprature 、TopPの0.01固定のみでの対応（Dr.JOY側の設定変更）</t>
    </r>
  </si>
  <si>
    <t>https://redmine.famishare.jp/issues/225901</t>
  </si>
  <si>
    <r>
      <rPr>
        <color rgb="FF1155CC"/>
        <u/>
      </rPr>
      <t>投稿</t>
    </r>
    <r>
      <rPr/>
      <t>で回答
モデル：4.1固定
Temperature：0.01固定
TopP：0.01固定
でいく。（そんなに賢い必要がない）
追加確認依頼
・Logの確認手段</t>
    </r>
  </si>
  <si>
    <t>OpenAIモジュールにCONTEXTtypeを追加</t>
  </si>
  <si>
    <t>OpenAIモジュールで、Context display typeに「DEPARTMENT」の追加をお願いします。</t>
  </si>
  <si>
    <t>デモと開発は反映済み。本番への反映が12/10か、12/11予定。</t>
  </si>
  <si>
    <t>General / Jump to Flow のモジュールの動作検証</t>
  </si>
  <si>
    <r>
      <rPr>
        <rFont val="Arial"/>
        <b/>
        <color theme="1"/>
      </rPr>
      <t>動作要件</t>
    </r>
    <r>
      <rPr>
        <rFont val="Arial"/>
        <color theme="1"/>
      </rPr>
      <t xml:space="preserve">
任意のフローAで General / Jump to Flow のモジュールを利用して、フローCに飛ぶ。フローCの対応完了次第 General / Jump to Flow を利用して、元のフローAに戻る。
任意のフローBで General / Jump to Flow のモジュールを利用して、フローCに飛ぶ。フローCの対応完了次第 General / Jump to Flow を利用して、元のフローBに戻る。
</t>
    </r>
    <r>
      <rPr>
        <rFont val="Arial"/>
        <b/>
        <color theme="1"/>
      </rPr>
      <t>確認点</t>
    </r>
    <r>
      <rPr>
        <rFont val="Arial"/>
        <color theme="1"/>
      </rPr>
      <t xml:space="preserve">
①コールログはどのように出てくるか
②文字起こしは元のコールIDに紐づいてDr.JOYに反映ができるか
③Brekekeの基本機能ではできない場合、どのような情報を持たせる必要があるか</t>
    </r>
  </si>
  <si>
    <t>元のシナリオ → 氏名ヒアリングの子シナリオ → 元のシナリオという動作にすることができれば、作成工数とミスの減少を計れるので、お願いしたく。。。
角さん曰く1時間程度で検証はできるだろうとのこと。
不明点などあればブレケケに聞きますので、課題が出たら教えてください！
1/08 に ブレケケに質問中
ブレケケ様↔Dr_JOY
1/13　Jump to Flow のモジュールの動作検証</t>
  </si>
  <si>
    <t>Acceptance Time</t>
  </si>
  <si>
    <r>
      <rPr/>
      <t xml:space="preserve">132000000141
132000000143
</t>
    </r>
    <r>
      <rPr>
        <color rgb="FF1155CC"/>
        <u/>
      </rPr>
      <t>https://app.drjoy.jp/gr/copy?actionType=GR&amp;emergencySurveyFlag=true&amp;groupId=-Ns6Ts5KIPEeXQ0WGD8R&amp;articleId=-OiMxVC26NJMPlG9LIVn</t>
    </r>
  </si>
  <si>
    <t>日時取得と条件分岐</t>
  </si>
  <si>
    <t>ivr.getParameterもしくはdateOfCallから変数取得してyyyy㎜ddの形式で、「以下」「以上」「等しい」で条件分岐をさせたい。
ivr.getParameterもしくはdateOfCallと「等しい」「×日以内」の条件分岐もできる</t>
  </si>
  <si>
    <t xml:space="preserve">取得した日付（コンテキスト）とdateOfCallの日付を比較する。
1 - context &gt; dateOfCall ± n days
2 - context ≥ dateOfCall ± n days
3 - context = dateOfCall ± n days
4 - context ≤ dateOfCall ± n days
5 - context &lt; dateOfCall ± n days
例
dateOfCall =  20260123 17:00:00
{today} = 20260123 00:00:00
nへプラスマイナスを指定
+3
dateOfCall ± n days = {today}+3days = 20260126 00:00:00
 </t>
  </si>
  <si>
    <t>①dateOfCallから変数を取得してhh:㎜:ss
②モジュール上で指定したhh:mm:ss
①と②を比較して、「①&gt;②」「①=②」「①&lt;②」で分岐をさせたい</t>
  </si>
  <si>
    <t>https://redmine.famishare.jp/issues/241151</t>
  </si>
  <si>
    <t>例
①deteOfCall = 17:00:00
②比較条件 = 17:30:00
「①&gt;②」 → ジャンプ条件A
「①=②」 → ジャンプ条件B
「①&lt;②」 → ジャンプ条件C
で分岐をさせたい</t>
  </si>
  <si>
    <t>OpenAIのモジュールでcontextの変数を見に行けるようにできますか</t>
  </si>
  <si>
    <t>冒頭以外の部分でも使用できるようにしてほしい</t>
  </si>
  <si>
    <t>使えるはず・・！！！</t>
  </si>
  <si>
    <t>ivr.getParameterもしくはdateOfCallから日付データを変数取得。
取得した日付から曜日を判定。
月/火/水/木/金/土/日/祝で分岐させる</t>
  </si>
  <si>
    <t>AcceptanceTimeで実行は可能だが、入電受付時間と曜日で複数条件がある場合に実行不可となるため、別モジュールが欲しい。</t>
  </si>
  <si>
    <r>
      <rPr>
        <color rgb="FF1155CC"/>
        <u/>
      </rPr>
      <t>⑦FAQのRAG(JP)</t>
    </r>
    <r>
      <rPr/>
      <t xml:space="preserve"> モジュール</t>
    </r>
  </si>
  <si>
    <t>TTSをAI Talkも利用できるように・・！！</t>
  </si>
  <si>
    <t>Dev環境でのみ現状利用可能。</t>
  </si>
  <si>
    <t>③Persistence-saveContextModel2DB(JP)</t>
  </si>
  <si>
    <t>defaultcontextの追加をお願いします！！
※詳細は備考。
※ rangeValues はTSにて検討します！！</t>
  </si>
  <si>
    <t>例）contextイメージ(callIdと一緒)：
  {
    "contextName": "checkpoint",
    "contextNameJp": "status",
    "rangeValues": [],
    "displayType": "TEXT",
    "editable": false,
    "deletable": false,
    "itemDefault": true
  }</t>
  </si>
  <si>
    <t>External Integration / DTMF AmiVoice STT Input (drjoy)</t>
  </si>
  <si>
    <t>4月リリースがうれしいので、終了予定日を指定しています（井上 卓哉）
・[Amivoice] Stop playing when speech
　で No を選択している。
・TTSの音声再生中でありストップしない
・STTエンジンに渡す録音を開始できるようにしたい
前提
Commubo挙動
・テキストは全量連携される かつ TTSの音声は最後まで再生される。
・TTSの再生中に被せて発話の入力があった場合に、STTへ渡すための録音は開始されている。</t>
  </si>
  <si>
    <t>Dev1？</t>
  </si>
  <si>
    <t>サンプル
20260309165234-60855-39413
新潟県けんこう財団 ＞ 新潟・東新潟・西新潟健診プラザ</t>
  </si>
  <si>
    <t>TSチェック</t>
  </si>
  <si>
    <t>モジュール</t>
  </si>
  <si>
    <t>custom jump to flow作成</t>
  </si>
  <si>
    <t>Brekekeの標準モジュールである、jump to flowをカスタマイズ。
仕様は以下。
・モジュール内で ジャンプ先 のフローの指定はする
・モジュール内のプロパティ設定を不要とする
・IVRプロパティを参照して発話指定”など”、以下のモジュールの挙動制御ができる
　- Persistence / save2db
　- Text To Speech / Text to speech (drjoy)
　- Text To Speech / Re-confirmation node data (drjoy)
　- Text To Speech / Speech Retry Counter (drjoy)
　- AmiVoice / Speech to Text (drjoy)
　- External Integration / DTMF Custom (drjoy)
　- External Integration / DTMF AmiVoice STT Input (drjoy)</t>
  </si>
  <si>
    <t>Dev3</t>
  </si>
  <si>
    <r>
      <rPr>
        <b/>
      </rPr>
      <t xml:space="preserve">【2月12日】
</t>
    </r>
    <r>
      <rPr>
        <b val="0"/>
      </rPr>
      <t xml:space="preserve">「Custom Jump to Flow」という新規モジュールを作成しました。
・モジュール設計書　</t>
    </r>
    <r>
      <rPr>
        <b val="0"/>
        <color rgb="FF1155CC"/>
        <u/>
      </rPr>
      <t>Custom Jump to Flow</t>
    </r>
    <r>
      <rPr>
        <b val="0"/>
      </rPr>
      <t xml:space="preserve">　</t>
    </r>
  </si>
  <si>
    <t>custom jump to flowテスト</t>
  </si>
  <si>
    <t>サブフローを作成</t>
  </si>
  <si>
    <t>トシ</t>
  </si>
  <si>
    <t>custom jump to flow要件追加</t>
  </si>
  <si>
    <t>以下のモジュールをメインフローのIVRプロパティ指定で動かせるようにする。
　- External Integration / generate_by_OpenAI (drjoy)</t>
  </si>
  <si>
    <t>custom jump to flow利用時のラグ</t>
  </si>
  <si>
    <t>メインフロー ＞ サブフロー１ ＞ メインフロー ＞ サブフロー２ ＞ ・・・
と遷移させるときに、タイムラグがある。短縮可否を調査</t>
  </si>
  <si>
    <t>メインフローに「次に」を置くことで、待ち時間の印象を和らげることで、回避は可能だが、完ぺきとは言えない。</t>
  </si>
  <si>
    <t>サブフローで設置している「Persistence / save2db」がコンテキストの格納、文字起こしデータの更新ができていない。
「External Integration / generate_by_OpenAI (drjoy)」はコンテキストの格納ができている。</t>
  </si>
  <si>
    <r>
      <rPr>
        <rFont val="Arial"/>
        <b/>
        <color theme="1"/>
      </rPr>
      <t xml:space="preserve">【2月12日】
</t>
    </r>
    <r>
      <rPr>
        <rFont val="Arial"/>
        <b/>
        <color theme="1"/>
      </rPr>
      <t>フィールド「ラベル」の設定値に誤った構文があり、「Persistence / save2db」モジュールへ正しく接続できていません。
Result（現状）: "</t>
    </r>
    <r>
      <rPr>
        <rFont val="Arial"/>
        <b/>
        <color rgb="FFFF0000"/>
      </rPr>
      <t>save_</t>
    </r>
    <r>
      <rPr>
        <rFont val="Arial"/>
        <b/>
        <color theme="1"/>
      </rPr>
      <t>xxxx"
Expect（期待値）: "</t>
    </r>
    <r>
      <rPr>
        <rFont val="Arial"/>
        <b/>
        <color rgb="FF0000FF"/>
      </rPr>
      <t>save-</t>
    </r>
    <r>
      <rPr>
        <rFont val="Arial"/>
        <b/>
        <color theme="1"/>
      </rPr>
      <t>xxxx"</t>
    </r>
  </si>
  <si>
    <t>custom jump to flow機能</t>
  </si>
  <si>
    <t xml:space="preserve">・JumpのモジュールにSubflow を選択しない場合、通過できるかどうか？
</t>
  </si>
  <si>
    <t xml:space="preserve">デフォルトコンテキストを追加し、電話がどこまで実施した（終わったか）か確認できるようCheckpointの条件追加する
 - このステップが実行開始：”モジュール名＋In”
 - このステップが実行完了：”モジュール名＋Out”（上書きで良い）
対象：
</t>
  </si>
  <si>
    <t>Dev1、Dev3</t>
  </si>
  <si>
    <t>Q&amp;A</t>
  </si>
  <si>
    <t>Custom Conditional Jump作成</t>
  </si>
  <si>
    <t>事前に実行されたサブフローの戻り値を受け取り、条件に応じて分岐処理を行う。</t>
  </si>
  <si>
    <t>内訳</t>
  </si>
  <si>
    <r>
      <rPr>
        <b/>
      </rPr>
      <t xml:space="preserve">【2月12日】
</t>
    </r>
    <r>
      <rPr>
        <b/>
      </rPr>
      <t xml:space="preserve">既存の「Custom Jump to Flow」モジュールを直接修正することができないため、新規モジュールを作成する必要があります。
その場合、以下の2つのモジュールを新たに追加します。
・Custom Jump to Flow：指定したサブフローを実行（execute）する。
・Custom Conditional Jump：事前に実行されたサブフローの戻り値を受け取り、条件に応じて分岐処理を行う。
モジュール設計書： </t>
    </r>
    <r>
      <rPr>
        <b/>
        <color rgb="FF1155CC"/>
        <u/>
      </rPr>
      <t>Custom Conditional Jump</t>
    </r>
    <r>
      <rPr>
        <b/>
      </rPr>
      <t xml:space="preserve"> </t>
    </r>
  </si>
  <si>
    <t>custom jump to flow本番/デモへマージ</t>
  </si>
  <si>
    <t>発言者</t>
  </si>
  <si>
    <t>詳細</t>
  </si>
  <si>
    <t>列 1</t>
  </si>
  <si>
    <t>事業部会</t>
  </si>
  <si>
    <t>ブレケケでの音声認識活用</t>
  </si>
  <si>
    <t>ブレケケ単体で音声認識（STT）が可能か、また精度的に使えるのか？</t>
  </si>
  <si>
    <t>ブレケケ自体には音声認識機能はないため直接は難しい。ただし外部エンジンと連携すれば利用できる。シナリオ設計で一部代替は可能だが、音声認識の精度は自社AIやAmiVoiceに依存する。</t>
  </si>
  <si>
    <t>ブレケケでのログ取得</t>
  </si>
  <si>
    <t>通話が途中で切断された場合、そのログをブレケケ側で取得できるか？</t>
  </si>
  <si>
    <t>現時点では未確認で、テスト環境でも検証できていない。途中切断のログ取得は別モジュールやベトナム側の対応が必要になる可能性がある。</t>
  </si>
  <si>
    <t>転送機能について</t>
  </si>
  <si>
    <t>営業時間外やスケジュール設定に基づいた転送は正しく動作しているか？</t>
  </si>
  <si>
    <t>営業時間チェックによる転送は正常動作を確認済み。ただしスケジュール設定に基づく転送は反映されず、追加の確認が必要と判明した。</t>
  </si>
  <si>
    <t>自社AIエンジンの強み</t>
  </si>
  <si>
    <t>自社AIエンジンの特徴や、汎用エンジンと比べた優位性は何か？</t>
  </si>
  <si>
    <t>医療用語（薬剤名・病名など）の専用辞書を持っており、一般的なエンジンで頻発する誤変換を減らせる。例えば「再予約」が「採用薬」と誤変換されるケースを防げる。GoogleやAWSより医療シナリオに適している。</t>
  </si>
  <si>
    <t>自社エンジンとブレケケの違い</t>
  </si>
  <si>
    <t>ブレケケと自社AIエンジンはどのように役割を分けて使うべきか？</t>
  </si>
  <si>
    <t>ブレケケは通話制御（着信・転送など）に強みがあり、自社AIは音声認識精度に強みがある。用途に応じて併用するのが望ましい。</t>
  </si>
  <si>
    <t>自社AIエンジンの課題</t>
  </si>
  <si>
    <t>現時点で自社AIエンジンが抱える課題は何か？</t>
  </si>
  <si>
    <t>専門用語の登録や単語辞書の更新が追いついていない。AmiVoiceの単語登録リストを活用しているが、メンテナンスに人的リソースが必要で改善課題となっている。</t>
  </si>
  <si>
    <t>辞書登録について</t>
  </si>
  <si>
    <t>医療用語や施設名を自社AIエンジンに登録できるか？</t>
  </si>
  <si>
    <t>AmiVoiceの単語登録リストに医療用語や施設名を追加すれば対応可能。自社DBとの連携も検討中だが、現状は手作業での更新が必要。</t>
  </si>
  <si>
    <t>汎用エンジンとの比較</t>
  </si>
  <si>
    <t>GoogleやAWSなどの汎用音声認識と比べて、自社AIの差別化ポイントは？</t>
  </si>
  <si>
    <t>自社AIは医療用語に特化している点が差別化ポイント。汎用エンジンでは正しく認識できない医療専門用語をカバーできるため、医療分野での精度が高い。</t>
  </si>
  <si>
    <t>学習データの活用</t>
  </si>
  <si>
    <t>通話データを自社AIの学習に利用できるか？</t>
  </si>
  <si>
    <t>個人情報を適切に管理する前提で、一部の通話データを学習に利用可能。これにより音声認識の精度改善が期待できる。</t>
  </si>
  <si>
    <t>処理能力の制限</t>
  </si>
  <si>
    <t>自社AIエンジンのリアルタイム処理速度や同時接続数に制限はあるか？</t>
  </si>
  <si>
    <t>現状は同時接続数に制約があり、大量の同時通話では遅延が発生する可能性がある。リアルタイム処理速度にも限界があるが、今後の拡張で改善予定。</t>
  </si>
  <si>
    <t>外部システム連携</t>
  </si>
  <si>
    <t>CRMなど外部システムと自社AI・ブレケケは連携できるか？</t>
  </si>
  <si>
    <t>ブレケケは通話制御を担い、自社AIは認識結果を外部に送信可能。両者を併用することでCRMなどの外部システムとの連携が実現できる。</t>
  </si>
  <si>
    <t>ハル</t>
  </si>
  <si>
    <t>動作シナリオ確認</t>
  </si>
  <si>
    <t>時間外設定や転送を含め、動作できるシナリオはあるか？</t>
  </si>
  <si>
    <t>「Dr.JOY井上テスト」は動作確認済。ただしスケジュール転送は未解決、追加確認中。</t>
  </si>
  <si>
    <t>音声認識の精度</t>
  </si>
  <si>
    <t>「再予約」が「採用薬」など誤変換される問題を改善できるか？</t>
  </si>
  <si>
    <t>辞書登録や単語登録で補正可能。汎用モジュール追加も検討中。</t>
  </si>
  <si>
    <t>数字の復唱</t>
  </si>
  <si>
    <t>「いちにーぜろぜろ」と読ませたい「1200」を「せんにひゃく」と読んでしまうことは回避できるか。</t>
  </si>
  <si>
    <t>SSMLで1桁ずつ読み上げる方法を検討。専用タグ利用も可能だが、現状はスクリプトで変換が必要。</t>
  </si>
  <si>
    <t>終了予定日の管理</t>
  </si>
  <si>
    <t>進捗報告のため、終了予定日をレコード単位で入力できるか？</t>
  </si>
  <si>
    <t>着手中タスクは入力、未着手は空欄で管理。</t>
  </si>
  <si>
    <t>ベトナム側進捗</t>
  </si>
  <si>
    <t>ベトナム担当分の完了見込みと終了予定日の入力は可能か？</t>
  </si>
  <si>
    <t>モジュールはほぼ完成し今週中にテスト予定。途中切断ログは未確認だが、終了予定日は入力可能。</t>
  </si>
  <si>
    <t>転送のやりかた</t>
  </si>
  <si>
    <t>外線転送のためには、やはり発信ユーザの設定が必要っぽい。</t>
  </si>
  <si>
    <t>AI電話 - ブレケケ</t>
  </si>
  <si>
    <t>スケジュール設定</t>
  </si>
  <si>
    <t>やってみましょう！</t>
  </si>
  <si>
    <t>ブレケケ様↔Dr_JOY</t>
  </si>
  <si>
    <t>Call ID取得方法がわからない</t>
  </si>
  <si>
    <r>
      <rPr/>
      <t xml:space="preserve">角：8/25～調査する。
※並行してブレケケへ確認中。
→ブレケケ回答：スクリプトからは$ivr.getRID()で通話IDを取得することができます。
その他情報も以下で確認できそうです。
</t>
    </r>
    <r>
      <rPr>
        <color rgb="FF1155CC"/>
        <u/>
      </rPr>
      <t>https://docs.brekeke.com/pbx/ivr-class-flow</t>
    </r>
    <r>
      <rPr/>
      <t xml:space="preserve">
</t>
    </r>
    <r>
      <rPr>
        <color rgb="FF1155CC"/>
        <u/>
      </rPr>
      <t>https://docs.brekeke.com/pbx/connectionmanager-class-flow</t>
    </r>
    <r>
      <rPr/>
      <t xml:space="preserve">
</t>
    </r>
    <r>
      <rPr>
        <color rgb="FF1155CC"/>
        <u/>
      </rPr>
      <t>https://docs.brekeke.com/pbx/flowrunner-class-flow</t>
    </r>
  </si>
  <si>
    <t>スケジュール機能で non-business-hour を設定した後、  
営業時間外ガイダンスではなく「ただいま受付できません。プー音の後にメッセージを残してください」という発話が流れ、  シナリオに接続できませんでした。
なぜかコールログも残っていない。
発信先：05055781766</t>
  </si>
  <si>
    <t>ブレケケへ確認します。
ブレケケ回答
"ARSの設定を見る限り、05055781766の着信先は、5005のIVRとなっていますので、スケジュール機能は動作しなく、IVRフローが動作するはずです。
ARSでの着信先(Deploy-to)にスケジュール内線を設定してください。
また、「スケジュール連携」シートに設定例がありますので、参照ください。"</t>
  </si>
  <si>
    <t xml:space="preserve">録音機能が利用できないということはない様子。
ユーザー＞設定＞通話録音
しない→するに変更すれば30日保存で録音可能。
※該当のユーザーを経由しなければ録音はされない。
PBXをインストールした端末のディレクトリへ直接保存されることになる。
拡張子が.ulになっている。
.wavへの変更は何かしらの変換ツールをかます。
RFSには外部にデータを出す機能がない。
Dr.JOYで用意したWEBサーバへ通録完了時点で、ファイル名にユーザーとRIDをつけたWAVを持ってくる。が推奨
</t>
  </si>
  <si>
    <t>#サンプル
apache-tomcat-9.0.65/webapps/pbx/WEB-INF/work/pbx/tenant/users/2016/rec/r1749443935275.properties
■2016　はPBXユーザー 
■rec 内に録音ファイルとそのメタ情報（.properties）が保存される。 
■例：　r1749443935275.properties　の内容 
# 
#Mon Jun 09 13:39:17 JST 2025 
ex-param= 
format=PCMU/8000/2 
from=sip\:07024006531@127.0.0.1 
to=2016 
time=1749443935096 
rid=676000000479 
calltype=o 
type=call-recording 
tid=2231 
rid=676000000479　がPALで通話の度に生成される固有ID 
（お客様が言っているSID）に相当すると認識しております。</t>
  </si>
  <si>
    <t xml:space="preserve">本番環境化の影響なのか、、テストコールでフローデザイナーをどれだけ壊しても変えても反映されなくなってしまいました。。
本番、開発、検証とのＵＲＬとＩＤとＰＷを教えてください！
</t>
  </si>
  <si>
    <r>
      <rPr/>
      <t xml:space="preserve">ブレケケのエンジニアへ:
Looker のダッシュボードに、自社エンジンと同様に発信先電話番号(050-ID)を表示したいと考えております。
しかし、Brekeke のドキュメントを確認したところ、ログには発信先電話番号が含まれていないようです。
発信先電話番号を取得する方法について、ご教示いただけますでしょうか。
</t>
    </r>
    <r>
      <rPr>
        <color rgb="FF1155CC"/>
        <u/>
      </rPr>
      <t>https://prnt.sc/ND_cNiZ15HoX</t>
    </r>
  </si>
  <si>
    <t xml:space="preserve">井上卓哉にて確認し、回答出せたらハルさんへコメント。
・発信元電話番号
$ivr.getPbxRoomParam("incoming");
- 前提条件
G列の画像のように、ARS ＞ IN ＞ デプロイパターン ＞ Customが&amp;incoming=***********
になっていること。（現状、初期値として指定されている。）
・AI電話の電話番号
$ivr.getMyNumber();
</t>
  </si>
  <si>
    <t>通話データの保存方法について、以下の質問があります。
お手数をおかけしますが、ブレケケのエンジニアに確認していただけますでしょうか。
[ConnectionManager Class Flow](https://docs.brekeke.com/pbx/connectionmanager-class-flow) の手順を参考に、MySQL にデータを保存するためのモジュールを作成しました。
モジュール名：save2db
あるシナリオでは、このモジュールがデータベースへのコネクションを何度も開閉する動作を行います。
しかし、連続して多数（5件以下/1分）の通話を実行すると、`db.getConnection()` でコネクションを取得する段階でシステムがハングし、その後のすべての通話も同様の状態になります。
`pooledConnection` と `activeConnection` の数を確認しましたが、どちらも非常に少ないことを確認済みです。
以下の2つの方法を試しましたが、問題は解決しませんでした。
1. `cti.logging.type3` と同じデータベース機構を利用してログを保存する。
2. 独自のデータベースを定義する。
同様の問題に遭遇されたことがありましたら、どのように対処されたか教えていただけますでしょうか。</t>
  </si>
  <si>
    <t xml:space="preserve">ブレケケへ確認します！
</t>
  </si>
  <si>
    <r>
      <rPr>
        <color rgb="FF434343"/>
        <u/>
      </rPr>
      <t xml:space="preserve">https://redmine.famishare.jp/issues/206456
</t>
    </r>
    <r>
      <rPr>
        <color rgb="FF000000"/>
      </rPr>
      <t>Dr.JOYのAPI連携（転送先確認）
転送モジュールの利用背景と使い方を教えていただけますか。</t>
    </r>
  </si>
  <si>
    <t xml:space="preserve">第二世代の二つ目の利用方法をベースに以下を追加してほしい。
要件1、転送待ち時間の設定が可能
要件2、「ブラインド（転送成功時に何も発話せずに終了する）」「アテンデット（「転送成功」時のアナウンス内容の設定が可能）」が選択可能
要件3、「転送失敗」時の発話指定が可能
要件4、「転送成功」「転送失敗」での分岐が可能
</t>
  </si>
  <si>
    <t>角さん
ブレケケから以下リンク先の環境で負荷テストを実施。通話録音なしで同時通話400までは安定挙動を確認（CPU利用率60%超）とのことです。
ブレケケ様↔Dr_JOY
現在のうちのスペックとしていかがでしょうか。
　開発
　検証（デモ？）
　本番</t>
  </si>
  <si>
    <t>本番：150同時通録までならば耐えらるスペックである（c5n.2xlarge（vCPU 8相当））
検証（デモ）/開発：45同時通録までならば耐えらるスペックである</t>
  </si>
  <si>
    <t>drjoyテナントに同居型でいってみる。
Twilioの電話番号別同時通話最大数を算出し、確からしい確保すべき1電話番号辺りの最大通話数を求める。
Brekekeのライセンス買い増しのタイミングを決める。
9/24｜ブレケケ原価
回線数は一旦、50／施設で計算。</t>
  </si>
  <si>
    <t>開発及びデモ環境で通話の音声が録音できていない問題が発生しました。
PBXの再起動にて解消したのですが、前後で発生していたエラーの調査は可能でしょうか。
1. デモ
・録音できないレコード：
通話開始時間: 午後03:03:34
発信元:　05017070320
発信先:  05055781766
IVR: 5005
・システムを再起動することで録音できたレコード
通話開始時間: 午後06:21:47
発信元:　05017070320
発信先:  05055781766
IVR: 5005
2. 開発
・録音できないレコード：
通話開始時間: 午後01:32:30
発信元:　05017070320
発信先:  05055781766
IVR: 5005
・システムを再起動することで録音できたレコード:
通話開始時間: 午後04:39:34
発信元:　05017070320
発信先:  05055781766
IVR: 5005</t>
  </si>
  <si>
    <r>
      <rPr>
        <rFont val="Arial"/>
        <color theme="1"/>
      </rPr>
      <t xml:space="preserve">ブレケケに聞きます！
</t>
    </r>
    <r>
      <rPr>
        <rFont val="Arial"/>
        <b/>
        <color theme="1"/>
      </rPr>
      <t xml:space="preserve">ブレケケ回答
</t>
    </r>
    <r>
      <rPr>
        <rFont val="Arial"/>
        <color theme="1"/>
      </rPr>
      <t>検証環境と開発環境を確認してみたところ、通話録音やIVRを実行するプロセス(MediaServer)のJavaヒープメモリが逼迫していますので、メモリが足らずに通話録音ができなかった可能性が高いです。
現状MediaServerのJavaヒープメモリの最大値は48Mです。([SYSTEM] &gt; [Status] &gt; [Media Server]で確認できます。)
フローや音声認識で多くのメモリを使っていないでしょうか？
使用メモリ削減は難しい場合は、MediaServerに割り当てるヒープメモリを増やしてください。[PBX] &gt; [オプション] &gt; [設定] &gt; [メディアサーバー設定] &gt; [Java VM パラメータ]で設定できます。
なお、検証環境と開発環境に通話録音のログを詳細に出力する設定をしましたので、PBXを再起動していただければ、有効となります。</t>
    </r>
  </si>
  <si>
    <t>Brekeke側へ
OpenAIの回答にSSML処理を追加しましたが、設定どおりに読み上げが行われません。
お手数ですが、原因をご確認いただけますでしょうか。
検証したプロント: {tts_g:&lt;speak&gt;あ^りが!とうございます&lt;/speak&gt;}</t>
  </si>
  <si>
    <r>
      <rPr/>
      <t xml:space="preserve">GoogleのSSML仕様に則っているかをご確認ください。
</t>
    </r>
    <r>
      <rPr>
        <color rgb="FF1155CC"/>
        <u/>
      </rPr>
      <t>https://cloud.google.com/text-to-speech/docs/ssml?hl=ja</t>
    </r>
  </si>
  <si>
    <t>ハルさん！
先ほどお見せした内容です！！
develop環境で動作している右記をdemo環境でしている。
以下二点の問題が解消できていない。
・通話IDが反映されない。
・コンテキスト名"通話ID"を選択したときに入力枠が非活性になるはずが活性化している。
→ありがとうございます！</t>
  </si>
  <si>
    <r>
      <rPr>
        <rFont val="Arial"/>
        <color theme="1"/>
      </rPr>
      <t xml:space="preserve">contextモジュールの記載
        {
            "contextName": "callId",
            "contextNameJp": "通話ID",
            "rangeValues": [],
            "displayType": "NUMBER",
            "editable": true,
            "deletable": true,
            "itemDefault": false
        },
環境：検証
ID：tokyoeisei-demo
PW：tokyo0417
</t>
    </r>
    <r>
      <rPr>
        <rFont val="Arial"/>
        <b/>
        <color theme="1"/>
      </rPr>
      <t xml:space="preserve">10/24追記
</t>
    </r>
    <r>
      <rPr>
        <rFont val="Arial"/>
        <color theme="1"/>
      </rPr>
      <t>通話詳細画面には表示されるが、通話一覧に表示されない。。です。。
※備考へキャプチャ載せています！</t>
    </r>
  </si>
  <si>
    <r>
      <rPr/>
      <t xml:space="preserve">"contextName": "syscallid",
            "contextNameJp": "通話ID",
            "rangeValues": [],
            "displayType": "NUMBER",
            "editable": true,
            "deletable": true,
            "itemDefault": false
コンテキストのインプット例の"contextName": "syscallid"を"contextName": "callId"に変更いたしました。
よろしくお願いいたします。
</t>
    </r>
    <r>
      <rPr>
        <color rgb="FF1155CC"/>
        <u/>
      </rPr>
      <t>https://docs.google.com/spreadsheets/d/1CSh4V7y4iP0KiIm2xPOgZ6Ri1Pn4OaR4cXNLbkb-tbA/edit?gid=1214124092#gid=1214124092&amp;range=48:48</t>
    </r>
  </si>
  <si>
    <t>contextの上書きができなさそう。
→JSON書き損じでした・・恥
　上書きはできます。後勝ちで更新していきます。</t>
  </si>
  <si>
    <t>環境：検証
ID：tokyoeisei-demo
PW：tokyo0417
反映できていないcall Id　※コンテキストに「予約」があった当時のもの
67000000011
67000000012
80000000214
反映できているcallID　※コンテキストから「予約」を削除した以降のもの
67000000013
67000000014</t>
  </si>
  <si>
    <t xml:space="preserve">ＳＴＴモジュールのジャンプ設定
正規化できないときに、リトライしたいがどうしたらよい？
toshi-test用 - 20251023test
</t>
  </si>
  <si>
    <t>STTモジュール＞OpenAIモジュールを設置。
プロンプトで,区切りなどで表現してみては？</t>
  </si>
  <si>
    <r>
      <rPr/>
      <t xml:space="preserve">非通知からの着信ができない
</t>
    </r>
    <r>
      <rPr>
        <color rgb="FF1155CC"/>
        <u/>
      </rPr>
      <t>https://app.drjoy.jp/gr/copy?actionType=GR&amp;emergencySurveyFlag=true&amp;groupId=-Ns6Ts5KIPEeXQ0WGD8R&amp;articleId=-OfN-_WzK5Fn2YeeyF_n</t>
    </r>
  </si>
  <si>
    <t>楽天へ確認します → 井上
※Brekekeに一切のログがないのでベトナムでの調査は不可。</t>
  </si>
  <si>
    <t>角さんにて12/5（金）までに設定変更して解消予定。（ARSの設定が原因でした）</t>
  </si>
  <si>
    <t>検証環境
ＢｒｅｋｅｋｅにもDr.JOYにもログの反映はある。
が、STTモジュールに接続してもTimeOUT または ERROR になる。</t>
  </si>
  <si>
    <t>角さんにて12/5（金）までに解消予定。
→要様子見。同事象発生時は角さんへ報告！！</t>
  </si>
  <si>
    <t>開発環境
Ｂｒｅｋｅｋｅにコールログはあるが、Dr.JOYにレコードが反映されない</t>
  </si>
  <si>
    <t>ベトナムにてDevじゃなくてJackに接続していたとのこと。</t>
  </si>
  <si>
    <t>TTSモジュールが動作せず、次のモジュールに進まない
※IVRログ、通話詳細で問題なしのようです。
自治医科大学附属さいたま医療センター｜薬薬連携</t>
  </si>
  <si>
    <t>"{{"になっていました！</t>
  </si>
  <si>
    <t>【ミラザ新宿つるかめクリニック】
着信番号を「additionalPhoneNumber」に保存することは可能か？
【背景】
TTS：今お掛けいただいているお電話番号でよろしいでか？
STT：肯定または否定を聴取
肯定の場合は、着信番号を「additionalPhoneNumber」に保存したい</t>
  </si>
  <si>
    <t>saveContext2Dbモジュールで保存
設定
Context name：additionalPhoneNumber
Context display type: PHONE_NUMBER
Context value: &lt;% sys-customer-phone-number %&gt;</t>
  </si>
  <si>
    <t xml:space="preserve">年を省略して月日のみを発話した場合、当年の日付として認識される挙動となっていますが、こちらは仕様でしょうか。
例：「1月25日」と発話すると、「2025年1月25日」と認識されます。
</t>
  </si>
  <si>
    <t>ゴクさんに凸って、今日中に「今日は何日なのかを変数取得する」ってことでした。
やってみたけど、以下の結果。
入力-予約希望日:12月17日
OpenAI_予約希望日:2024/12/17 00:00:00</t>
  </si>
  <si>
    <t>→OpenAIに以下プロンプト指定かな・・？
予約日は、言われた日程に、当日の年度を足して、YYYY-MM-DD 00:00:00を日付として登録
**予約日と予約希望日は別なので、予約日のヒアリングがなかった場合に予約希望日の中身を予約日に入れてはいけない**
10月以降で1月から9月の日付を言われたときは、翌年にする。
例）2025年4月1日に入電、予約日を「5月1日」：と話されたときは、「2025-05-01 00:00:00」を予約日とする。
例）2025年11月1日に入電、予約日を「5月1日」：と話されたときは、「2026-05-01 00:00:00」を予約日とする。</t>
  </si>
  <si>
    <t>濱口</t>
  </si>
  <si>
    <t>functionCallが生きていないので、使えるようになるとありがたいです</t>
  </si>
  <si>
    <t>OpenAIモジュール</t>
  </si>
  <si>
    <t>displayTypeがTEXT"以外であれば、有効のはず。
実際のログをDev1へ報告したい。　★濱口さん</t>
  </si>
  <si>
    <t>temperatureを選択式にできるとありがたいです</t>
  </si>
  <si>
    <t>Dr.JOY側で制御しているので、モジュール毎に指定しようとするとチョット大変が過ぎそう、、今は、0.01です。</t>
  </si>
  <si>
    <t>OpenAIに入力するプロンプトの冒頭に「今日はyyyy年m月d日\n」が挿入されるが、
挿入有無を選択式にできるとありがたいです</t>
  </si>
  <si>
    <r>
      <rPr/>
      <t xml:space="preserve">★ハルさん
4月リリースに以下のチケットで対応させていただきます。
</t>
    </r>
    <r>
      <rPr>
        <color rgb="FF1155CC"/>
        <u/>
      </rPr>
      <t>https://redmine.famishare.jp/issues/246290</t>
    </r>
  </si>
  <si>
    <t>まったく急がないですがSMSFlagをセットするたびにSMSHanaに連携してSMSを投げる（1シナリオで複数回投げる）処理って実装可能だったりします……か？</t>
  </si>
  <si>
    <t>Commuboでは可能だったようです（第二世代以降不可）</t>
  </si>
  <si>
    <t>DTMF AmiVoice STT Input (drjoy)の挙動について</t>
  </si>
  <si>
    <t>このモジュールでTTSによるアナウンスを流しているとき
[Amivoice] Stop playing when speechをYESだと発話やDTMF検知して聞き取りを開始する。Noだと発話やDTMF検知しても聞き取りを開始しないけど、アナウンスは途切れてこのモジュール自体がerror判定になる。
これが仕様ですか？</t>
  </si>
  <si>
    <t>Column 18</t>
  </si>
  <si>
    <t>Column 17</t>
  </si>
  <si>
    <t>概要 Tổng quan</t>
  </si>
  <si>
    <t>Column 19</t>
  </si>
  <si>
    <t>Google STTをアミボイスに置き換えるための音声認識モジュールの作成。辞書・エンティティ対応含む。</t>
  </si>
  <si>
    <t>テスト</t>
  </si>
  <si>
    <t>音声認識</t>
  </si>
  <si>
    <t>発話→テキスト認識精度の検証</t>
  </si>
  <si>
    <t>Google STT／アミボイスでの名前・診療科の認識精度確認。誤変換率検証。</t>
  </si>
  <si>
    <t>日本</t>
  </si>
  <si>
    <t>応答文生成のためのOpenAI API連携処理（レスポンス取得＋TTS処理など）。</t>
  </si>
  <si>
    <t>SSML対応動的TTSモジュール</t>
  </si>
  <si>
    <t>返答文の一部をSSML形式に動的変換し、感情などの制御が可能なようにする処理。</t>
  </si>
  <si>
    <t>応答品質</t>
  </si>
  <si>
    <t>TTSレスポンスの自然さ／遅延確認</t>
  </si>
  <si>
    <t>合成音声の速度、自然さ、音質、ピロン音の入り方などのUXテスト。</t>
  </si>
  <si>
    <t>音声認識処理の中間記録保持</t>
  </si>
  <si>
    <t>音声認識結果や意図分類を保持するセッション変数 or キャッシュの実装。</t>
  </si>
  <si>
    <t>スクリプト実装</t>
  </si>
  <si>
    <t>名前・診療科などのエンティティ処理分岐</t>
  </si>
  <si>
    <t>内科/眼科などの曖昧・誤認識を正規化する辞書対応スクリプト作成。</t>
  </si>
  <si>
    <t>エンティティ</t>
  </si>
  <si>
    <t>誤発話の正常分類チェック</t>
  </si>
  <si>
    <t>「なんか」→「内科」などの誤変換から正規カテゴリへマッピングできるか検証。</t>
  </si>
  <si>
    <t>設計思想</t>
  </si>
  <si>
    <t>モジュール共通利用向けの構成ルール整理</t>
  </si>
  <si>
    <t>テナント共通／個別のモジュール管理ルール・方針策定。</t>
  </si>
  <si>
    <t>フロー検証</t>
  </si>
  <si>
    <t>IVR分岐の動作確認</t>
  </si>
  <si>
    <t>時間帯・スケジュールによって正しくルート分岐しているかの検証。</t>
  </si>
  <si>
    <t>音声録音</t>
  </si>
  <si>
    <t>通話録音ファイルの保存確認</t>
  </si>
  <si>
    <t>録音ファイルが正しく保存され、後から再生可能か。ダミー内線ユーザーの設定動作含む。</t>
  </si>
  <si>
    <t>OpenAI</t>
  </si>
  <si>
    <t>API応答スピードとエラーハンドリング</t>
  </si>
  <si>
    <t>高負荷時の応答遅延、API不調時のフェールオーバー確認。</t>
  </si>
  <si>
    <t>モジュール連携</t>
  </si>
  <si>
    <t>DB連携データ保存／復元テスト</t>
  </si>
  <si>
    <t>DBへ記録された発話意図が、別ノードで正しく再取得されるか。</t>
  </si>
  <si>
    <t>UIテスト</t>
  </si>
  <si>
    <t>フローデザイナー編集内容の反映</t>
  </si>
  <si>
    <t>編集後の反映タイムラグ（約30秒）や保存状態の保持確認。</t>
  </si>
  <si>
    <t>運用テスト</t>
  </si>
  <si>
    <t>ガイダンスの誤読／冒頭切れ対策確認</t>
  </si>
  <si>
    <t>モバイルからの通話で最初の音声が欠けないか。ウェイト設定の効果確認。</t>
  </si>
  <si>
    <t>API連携（OpenAIを呼び出す）</t>
  </si>
  <si>
    <t>API連携（Dr.JOYに確認する）</t>
  </si>
  <si>
    <t>Dr.JOYの転送先設定</t>
  </si>
  <si>
    <r>
      <rPr>
        <rFont val="Arial"/>
        <color theme="1"/>
      </rPr>
      <t>Commubo、Dr.JOY、</t>
    </r>
    <r>
      <rPr>
        <rFont val="Arial"/>
        <b/>
        <color theme="1"/>
      </rPr>
      <t>Brekeke</t>
    </r>
    <r>
      <rPr>
        <rFont val="Arial"/>
        <color theme="1"/>
      </rPr>
      <t>を新規作成
項目はシナリオ名と電話番号のみの想定</t>
    </r>
  </si>
  <si>
    <t>- Tìm hiểu cách lấy các thông số cuộc gọi trả về API</t>
  </si>
  <si>
    <t>Lâm</t>
  </si>
  <si>
    <t>- Cách truyền giá trị context vào ChatGPT → trả về kết quả text → Chuyển Brekeke phát thoại</t>
  </si>
  <si>
    <t>Điều tra phát thoại trên Brekeke</t>
  </si>
  <si>
    <t>Tìm hiểu done</t>
  </si>
  <si>
    <t>Điều tra tạo api tích hợp OpenAI ChatGPT</t>
  </si>
  <si>
    <t>Inprocess</t>
  </si>
  <si>
    <t>dự kiến 5/8 done</t>
  </si>
  <si>
    <t>Setting Admin brekeke</t>
  </si>
  <si>
    <t>- Tạo API lưu setting ??? trên màn hình AM0003</t>
  </si>
  <si>
    <t>- Cách call API Bekeke</t>
  </si>
  <si>
    <t>a.Sơn</t>
  </si>
  <si>
    <t>điều tra call api bằng node http</t>
  </si>
  <si>
    <t>- Điều tra cách Bekeke lưu âm thanh và nội dung log cuộc gọi → trả về Dr.JOY</t>
  </si>
  <si>
    <t>Cần xác nhận thêm</t>
  </si>
  <si>
    <t>dự kiến đến bao giờ xong?</t>
  </si>
  <si>
    <t>- Cách collect thông tin (context) trong cuộc gọi để truyền vào API</t>
  </si>
  <si>
    <t>- Tạo API xác nhận giờ hiện tại có phải giờ tiếp nhận cuộc gọi không?</t>
  </si>
  <si>
    <t>- API lưu kết quả cuộc gọi</t>
  </si>
  <si>
    <t>Đạt</t>
  </si>
  <si>
    <t>RAG</t>
  </si>
  <si>
    <t>- API tìm và trả về kết quả RAG</t>
  </si>
  <si>
    <t>- Điều tra chuyển đổi SSML</t>
  </si>
  <si>
    <t>Chuyển tiếp</t>
  </si>
  <si>
    <t>- Cách call chuyển tiếp Bekeke</t>
  </si>
  <si>
    <t>Azure</t>
  </si>
  <si>
    <t>Cấu hình dự phòng</t>
  </si>
  <si>
    <t>サービス名</t>
  </si>
  <si>
    <t>月額基本料／番号</t>
  </si>
  <si>
    <t>通話料（発信時）</t>
  </si>
  <si>
    <t>着信時課金</t>
  </si>
  <si>
    <t>留守電・録音</t>
  </si>
  <si>
    <t>API連携</t>
  </si>
  <si>
    <t>主な特長・適性</t>
  </si>
  <si>
    <t>Twilio（現行利用中）</t>
  </si>
  <si>
    <t>約180円（1.15USD）＋従量制</t>
  </si>
  <si>
    <t>発信：〜0.08 USD／分着信：0.007 USD／分</t>
  </si>
  <si>
    <t>あり</t>
  </si>
  <si>
    <t>◎（録音・IVR）</t>
  </si>
  <si>
    <t>◎</t>
  </si>
  <si>
    <t>通話制御自由・API強力・SMS/LINE連携可能、着信も従量課金</t>
  </si>
  <si>
    <t>楽天コミュニケーションズ</t>
  </si>
  <si>
    <t>380円〜（税抜）</t>
  </si>
  <si>
    <t>固定：3分8円〜携帯：1分16円〜</t>
  </si>
  <si>
    <t>なし（受信無料）</t>
  </si>
  <si>
    <t>◯（管理画面）</t>
  </si>
  <si>
    <t>◯（一部）</t>
  </si>
  <si>
    <t>法人契約可、複数番号一括管理・転送など容易、着信課金なし</t>
  </si>
  <si>
    <t>050 plus（NTT）</t>
  </si>
  <si>
    <t>330円（税込）</t>
  </si>
  <si>
    <t>固定：3分8.8円携帯：1分17.6円</t>
  </si>
  <si>
    <t>なし</t>
  </si>
  <si>
    <t>◯</t>
  </si>
  <si>
    <t>✕</t>
  </si>
  <si>
    <t>アプリ間無料、個人〜法人導入多数、品質安定</t>
  </si>
  <si>
    <t>IP‑Phone SMART</t>
  </si>
  <si>
    <t>0円</t>
  </si>
  <si>
    <t>発信：30秒8円（固定・携帯共通）</t>
  </si>
  <si>
    <t>△（簡易）</t>
  </si>
  <si>
    <t>維持費ゼロ、従量課金型、着信は無料</t>
  </si>
  <si>
    <t>LaLa Call</t>
  </si>
  <si>
    <t>110円（税込）</t>
  </si>
  <si>
    <t>固定：約3分7.4円携帯：約30秒9円</t>
  </si>
  <si>
    <t>◯（メール転送）</t>
  </si>
  <si>
    <t>留守電機能あり、コスト控えめ</t>
  </si>
  <si>
    <t>G‑Call050</t>
  </si>
  <si>
    <t>280円（税込）</t>
  </si>
  <si>
    <t>固定：3分8円携帯：1分16円</t>
  </si>
  <si>
    <t>国際対応・フリーダイヤル・法人利用も可</t>
  </si>
  <si>
    <t>050Call</t>
  </si>
  <si>
    <t>0円（最低315円〜）</t>
  </si>
  <si>
    <t>固定：3分7.62円携帯：1分14.29円</t>
  </si>
  <si>
    <t>着信無料・留守電なし、最低料金条件あり</t>
  </si>
  <si>
    <t>MiiTel（レブコム）</t>
  </si>
  <si>
    <t>5,980円〜（税抜）</t>
  </si>
  <si>
    <t>要問合せ</t>
  </si>
  <si>
    <t>なし（通話料に包括）</t>
  </si>
  <si>
    <t>◎（録音＋解析）</t>
  </si>
  <si>
    <t>営業向け、録音・AI分析・CRM連携。SaaS型PBX</t>
  </si>
  <si>
    <t>GPTリンク</t>
  </si>
  <si>
    <t>※SMS送信不可と言っているが、hanaは別番号から送信したものの送信元電話番号情報を載せているだけなので問題なし（杉本さんへ2025/07/17確認）</t>
  </si>
  <si>
    <t>問合せやり取り</t>
  </si>
  <si>
    <t>井上→楽天</t>
  </si>
  <si>
    <t>お問い合わせ内容：[導入希望のため見積もりがほしい][詳しく説明が聞きたい]</t>
  </si>
  <si>
    <t>その他：お世話になっております。</t>
  </si>
  <si>
    <t>Dr.JOY株式会社の井上と申します。</t>
  </si>
  <si>
    <t>当社は医療機関向けに「AI電話」サービスを提供しており、現在は別会社を利用して050のIP電話番号を発番し、各病院に専用番号を割り当てる形で運用しております。</t>
  </si>
  <si>
    <t>PBXの変更を検討しております。</t>
  </si>
  <si>
    <t>変更する場合、貴社サービスを活用して050番号を発番・管理ができるかを知りたく。</t>
  </si>
  <si>
    <t>具体的には、以下のような構成を想定しています：</t>
  </si>
  <si>
    <t>・法人契約のもとで、複数の050番号を一括発番</t>
  </si>
  <si>
    <t>・各番号は、個別の病院に専用で割り当て</t>
  </si>
  <si>
    <t>・発着信および転送設定を個別に制御可能な環境（APIや管理画面等）</t>
  </si>
  <si>
    <t>・必要に応じて、同時通話数の確保や録音機能の活用も検討中</t>
  </si>
  <si>
    <t>ご提供中のサービスで、上記のような利用が可能かご確認のうえ、</t>
  </si>
  <si>
    <t>契約形態・初期費用・月額費用・利用条件などをご案内いただけますと幸いです。</t>
  </si>
  <si>
    <t>迅速に導入可否の判断までしたく、WEBミーティングも可能ですのでお気軽にお申し付けください。</t>
  </si>
  <si>
    <t>以上、よろしくお願いいたします。</t>
  </si>
  <si>
    <t>楽天 コールセンター →井上</t>
  </si>
  <si>
    <t>「Dr.JOYとして利用」として受け入れ可否の判断がまだできない。</t>
  </si>
  <si>
    <t>現在担当者へ確認中。</t>
  </si>
  <si>
    <t>7/22 or 23には進捗連絡をいただく予定。</t>
  </si>
  <si>
    <t>楽天 小西さん → 井上</t>
  </si>
  <si>
    <t>おそらく問題なし。</t>
  </si>
  <si>
    <t>利用用途の再確認</t>
  </si>
  <si>
    <t>現時点での電話番号発番はどこか</t>
  </si>
  <si>
    <t>→Twilio</t>
  </si>
  <si>
    <t>Twilioで発番された電話番号のキャリアは？</t>
  </si>
  <si>
    <t>→井上では不明</t>
  </si>
  <si>
    <t>週明けに回答 + 打ち合わせセット予定</t>
  </si>
  <si>
    <t>以下で井上から提示済み</t>
  </si>
  <si>
    <t xml:space="preserve">　7/22　10：00～12：00</t>
  </si>
  <si>
    <t xml:space="preserve">　7/22　13：00～15：00</t>
  </si>
  <si>
    <t xml:space="preserve">　7/23　16：30～17：30</t>
  </si>
  <si>
    <t>日程調整依頼</t>
  </si>
  <si>
    <t>IP電話の参考リンク</t>
  </si>
  <si>
    <t>https://comm.rakuten.co.jp/houjin/ip/</t>
  </si>
  <si>
    <t>7/24 AM or 7/25 AM であれば専門チームでの対応可能（直接来社も可能）</t>
  </si>
  <si>
    <t>料金</t>
  </si>
  <si>
    <t>https://comm.rakuten.co.jp/houjin/ip/fee/</t>
  </si>
  <si>
    <t>井上→楽天 小西さん</t>
  </si>
  <si>
    <t>7/24　11：00～12：00で来社対応を依頼</t>
  </si>
  <si>
    <t>担当者と確認が取れていない。7/23に来訪可否の回答予定。</t>
  </si>
  <si>
    <t>カテゴリー</t>
  </si>
  <si>
    <t>モジュール名</t>
  </si>
  <si>
    <t>プロセス名</t>
  </si>
  <si>
    <t>プロパティキー</t>
  </si>
  <si>
    <t>IVRプロパティ入力内容</t>
  </si>
  <si>
    <t>項目</t>
  </si>
  <si>
    <t>デフォルト</t>
  </si>
  <si>
    <t>// db</t>
  </si>
  <si>
    <t>AmiVoice</t>
  </si>
  <si>
    <t>Speech to Text</t>
  </si>
  <si>
    <t>接続先URL</t>
  </si>
  <si>
    <t>amivoice.uri</t>
  </si>
  <si>
    <t>wss://develop-speech.famishare.jp/ws</t>
  </si>
  <si>
    <t>ws://10.0.20.11:8000/ws</t>
  </si>
  <si>
    <t>ws://10.0.20.14:8000/ws</t>
  </si>
  <si>
    <t>pbx.db.name=save.db</t>
  </si>
  <si>
    <t>言語</t>
  </si>
  <si>
    <t>amivoice.language</t>
  </si>
  <si>
    <t>下記、優先順位はコメント参照</t>
  </si>
  <si>
    <t>接続エンジン名</t>
  </si>
  <si>
    <t>amivoice.engine</t>
  </si>
  <si>
    <t>会話汎用</t>
  </si>
  <si>
    <t>音声タイプ</t>
  </si>
  <si>
    <t>テキスト</t>
  </si>
  <si>
    <t>音声認識フラグ</t>
  </si>
  <si>
    <t>amivoice.detection_flag</t>
  </si>
  <si>
    <t>音声開始前から検出</t>
  </si>
  <si>
    <t>VAD閾値</t>
  </si>
  <si>
    <t>amivoice.probability</t>
  </si>
  <si>
    <t>無音検知時間 (ms)</t>
  </si>
  <si>
    <t>amivoice.silent_detection_ms</t>
  </si>
  <si>
    <t>タイムアウト (ms)</t>
  </si>
  <si>
    <t>amivoice.timeout_ms</t>
  </si>
  <si>
    <t>フィラー単語の自動削除</t>
  </si>
  <si>
    <t>amivoice.keep_filter_token</t>
  </si>
  <si>
    <t>Yes</t>
  </si>
  <si>
    <t>ログ保存</t>
  </si>
  <si>
    <t>amivoice.save_log</t>
  </si>
  <si>
    <t>No</t>
  </si>
  <si>
    <t>単語登録リスト</t>
  </si>
  <si>
    <t>speech.rag.url</t>
  </si>
  <si>
    <t>https://develop-speech.famishare.jp/api/v1/rag</t>
  </si>
  <si>
    <t>http://10.0.20.11:8000/api/v1/rag</t>
  </si>
  <si>
    <t>http://10.0.20.14:8000/api/v1/rag</t>
  </si>
  <si>
    <t>接続タイムアウト（秒）</t>
  </si>
  <si>
    <t>speech.rag.connect_timeout</t>
  </si>
  <si>
    <t>リクエストタイムアウト（秒）</t>
  </si>
  <si>
    <t>speech.rag.request_timeout</t>
  </si>
  <si>
    <t>信頼度</t>
  </si>
  <si>
    <t>speech.rag.credibility</t>
  </si>
  <si>
    <t>ワードリスト</t>
  </si>
  <si>
    <t>Text To Speech</t>
  </si>
  <si>
    <t>Prompt</t>
  </si>
  <si>
    <t>prompt</t>
  </si>
  <si>
    <t>Stop by DTMF</t>
  </si>
  <si>
    <t>Save to DB</t>
  </si>
  <si>
    <t>Persistence</t>
  </si>
  <si>
    <t>save2db</t>
  </si>
  <si>
    <t>Context name</t>
  </si>
  <si>
    <t>Context display type</t>
  </si>
  <si>
    <t>TEXT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</si>
</sst>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M/dd"/>
    <numFmt numFmtId="166" formatCode="yyyy/mm/dd h:mm"/>
  </numFmts>
  <fonts count="35">
    <font>
      <sz val="10.0"/>
      <color rgb="FF000000"/>
      <name val="Arial"/>
      <scheme val="minor"/>
    </font>
    <font>
      <color theme="1"/>
      <name val="Arial"/>
      <scheme val="minor"/>
    </font>
    <font>
      <u/>
      <color theme="1"/>
      <name val="Arial"/>
      <scheme val="minor"/>
    </font>
    <font>
      <u/>
      <color rgb="FF0000FF"/>
    </font>
    <font>
      <color rgb="FF222222"/>
      <name val="Arial"/>
    </font>
    <font>
      <b/>
      <color theme="1"/>
      <name val="Arial"/>
      <scheme val="minor"/>
    </font>
    <font>
      <u/>
      <color rgb="FF0000FF"/>
      <name val="Arial"/>
    </font>
    <font>
      <u/>
      <color rgb="FF0000FF"/>
      <name val="Roboto"/>
    </font>
    <font>
      <color rgb="FFFF0000"/>
      <name val="Arial"/>
      <scheme val="minor"/>
    </font>
    <font>
      <color rgb="FFFFFF00"/>
      <name val="Arial"/>
      <scheme val="minor"/>
    </font>
    <font>
      <u/>
      <color rgb="FF434343"/>
      <name val="Roboto"/>
    </font>
    <font>
      <u/>
      <color rgb="FF434343"/>
      <name val="Roboto"/>
    </font>
    <font>
      <u/>
      <color rgb="FF0000FF"/>
      <name val="Roboto"/>
    </font>
    <font>
      <color rgb="FF0000FF"/>
      <name val="Arial"/>
      <scheme val="minor"/>
    </font>
    <font>
      <u/>
      <color rgb="FF0000FF"/>
      <name val="Roboto"/>
    </font>
    <font>
      <u/>
      <color rgb="FF0000FF"/>
      <name val="Arial"/>
      <scheme val="minor"/>
    </font>
    <font>
      <u/>
      <color rgb="FF434343"/>
      <name val="Roboto"/>
    </font>
    <font>
      <u/>
      <color theme="1"/>
      <name val="Arial"/>
      <scheme val="minor"/>
    </font>
    <font>
      <u/>
      <color theme="1"/>
      <name val="Arial"/>
      <scheme val="minor"/>
    </font>
    <font>
      <u/>
      <color rgb="FF0000FF"/>
      <name val="Roboto"/>
    </font>
    <font>
      <u/>
      <color rgb="FF0000FF"/>
      <name val="Roboto"/>
    </font>
    <font>
      <u/>
      <color rgb="FF0000FF"/>
      <name val="Roboto"/>
    </font>
    <font>
      <u/>
      <color theme="1"/>
      <name val="Arial"/>
      <scheme val="minor"/>
    </font>
    <font>
      <u/>
      <color rgb="FF0000FF"/>
      <name val="Roboto"/>
    </font>
    <font>
      <u/>
      <color rgb="FF434343"/>
      <name val="Roboto"/>
    </font>
    <font>
      <u/>
      <color rgb="FF0000FF"/>
      <name val="Roboto"/>
    </font>
    <font>
      <b/>
      <u/>
      <color rgb="FF0000FF"/>
      <name val="Roboto"/>
    </font>
    <font>
      <u/>
      <color rgb="FF434343"/>
      <name val="Arial"/>
      <scheme val="minor"/>
    </font>
    <font>
      <color rgb="FFFFFFFF"/>
      <name val="Arial"/>
      <scheme val="minor"/>
    </font>
    <font>
      <u/>
      <color rgb="FF434343"/>
      <name val="Arial"/>
      <scheme val="minor"/>
    </font>
    <font>
      <u/>
      <color rgb="FF434343"/>
      <name val="Arial"/>
      <scheme val="minor"/>
    </font>
    <font>
      <strike/>
      <color theme="1"/>
      <name val="Arial"/>
      <scheme val="minor"/>
    </font>
    <font>
      <b/>
      <u/>
      <color rgb="FF0000FF"/>
    </font>
    <font>
      <sz val="9.0"/>
      <color rgb="FF000000"/>
      <name val="Arial"/>
    </font>
    <font>
      <u/>
      <color rgb="FF0000FF"/>
    </font>
  </fonts>
  <fills count="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s>
  <borders count="2">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0" fontId="5" numFmtId="0" xfId="0" applyAlignment="1" applyFont="1">
      <alignment readingOrder="0"/>
    </xf>
    <xf borderId="0" fillId="2" fontId="6" numFmtId="0" xfId="0" applyAlignment="1" applyFont="1">
      <alignment readingOrder="0"/>
    </xf>
    <xf borderId="0" fillId="2" fontId="4" numFmtId="0" xfId="0" applyFont="1"/>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4" xfId="0" applyAlignment="1" applyFont="1" applyNumberFormat="1">
      <alignment readingOrder="0" shrinkToFit="0" vertical="center" wrapText="1"/>
    </xf>
    <xf borderId="0" fillId="0" fontId="1" numFmtId="164" xfId="0" applyAlignment="1" applyFont="1" applyNumberFormat="1">
      <alignment readingOrder="0" shrinkToFit="0" vertical="center" wrapText="1"/>
    </xf>
    <xf borderId="0" fillId="0" fontId="7"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horizontal="left" readingOrder="0" shrinkToFit="0" wrapText="1"/>
    </xf>
    <xf borderId="0" fillId="3" fontId="8" numFmtId="0" xfId="0" applyAlignment="1" applyFill="1" applyFont="1">
      <alignment readingOrder="0" shrinkToFit="0" vertical="center" wrapText="1"/>
    </xf>
    <xf borderId="0" fillId="3" fontId="8" numFmtId="0" xfId="0" applyAlignment="1" applyFont="1">
      <alignment horizontal="center" readingOrder="0" shrinkToFit="0" vertical="center" wrapText="1"/>
    </xf>
    <xf borderId="0" fillId="3" fontId="8" numFmtId="0" xfId="0" applyAlignment="1" applyFont="1">
      <alignment readingOrder="0" shrinkToFit="0" vertical="center" wrapText="0"/>
    </xf>
    <xf borderId="0" fillId="3" fontId="8" numFmtId="0" xfId="0" applyFont="1"/>
    <xf borderId="0" fillId="3" fontId="8" numFmtId="0" xfId="0" applyAlignment="1" applyFont="1">
      <alignment horizontal="left" readingOrder="0" shrinkToFit="0" wrapText="1"/>
    </xf>
    <xf borderId="0" fillId="3" fontId="8" numFmtId="0" xfId="0" applyAlignment="1" applyFon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shrinkToFit="0" wrapText="0"/>
    </xf>
    <xf borderId="0" fillId="4" fontId="1" numFmtId="0" xfId="0" applyAlignment="1" applyFill="1" applyFont="1">
      <alignment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readingOrder="0" shrinkToFit="0" vertical="center" wrapText="0"/>
    </xf>
    <xf borderId="0" fillId="4" fontId="1" numFmtId="0" xfId="0" applyFont="1"/>
    <xf borderId="0" fillId="4" fontId="1" numFmtId="0" xfId="0" applyAlignment="1" applyFont="1">
      <alignment horizontal="left" readingOrder="0" shrinkToFit="0" wrapText="1"/>
    </xf>
    <xf borderId="0" fillId="4" fontId="1" numFmtId="0" xfId="0" applyAlignment="1" applyFont="1">
      <alignment horizontal="left" readingOrder="0" shrinkToFit="0" wrapText="1"/>
    </xf>
    <xf borderId="0" fillId="5" fontId="9" numFmtId="0" xfId="0" applyAlignment="1" applyFill="1" applyFont="1">
      <alignment readingOrder="0" shrinkToFit="0" vertical="center" wrapText="1"/>
    </xf>
    <xf borderId="0" fillId="5" fontId="9" numFmtId="0" xfId="0" applyAlignment="1" applyFont="1">
      <alignment horizontal="center" readingOrder="0" shrinkToFit="0" vertical="center" wrapText="1"/>
    </xf>
    <xf borderId="0" fillId="5" fontId="9" numFmtId="0" xfId="0" applyAlignment="1" applyFont="1">
      <alignment readingOrder="0" shrinkToFit="0" vertical="center" wrapText="0"/>
    </xf>
    <xf borderId="0" fillId="5" fontId="9" numFmtId="0" xfId="0" applyFont="1"/>
    <xf borderId="0" fillId="5" fontId="9" numFmtId="0" xfId="0" applyAlignment="1" applyFont="1">
      <alignment horizontal="left" readingOrder="0" shrinkToFit="0" wrapText="1"/>
    </xf>
    <xf borderId="0" fillId="5" fontId="9" numFmtId="0" xfId="0" applyAlignment="1" applyFont="1">
      <alignment horizontal="left" readingOrder="0" shrinkToFit="0" wrapText="1"/>
    </xf>
    <xf borderId="0" fillId="0" fontId="1" numFmtId="14" xfId="0" applyAlignment="1" applyFont="1" applyNumberFormat="1">
      <alignment horizontal="left" readingOrder="0" shrinkToFit="0" wrapText="0"/>
    </xf>
    <xf borderId="0" fillId="0" fontId="1" numFmtId="14" xfId="0" applyAlignment="1" applyFont="1" applyNumberFormat="1">
      <alignment shrinkToFit="0"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12"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0" xfId="0" applyAlignment="1" applyFont="1">
      <alignment shrinkToFit="0" vertical="center" wrapText="0"/>
    </xf>
    <xf borderId="0" fillId="0" fontId="13" numFmtId="0" xfId="0" applyAlignment="1" applyFont="1">
      <alignment readingOrder="0" shrinkToFit="0" vertical="center" wrapText="1"/>
    </xf>
    <xf borderId="0" fillId="0" fontId="1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5" numFmtId="0" xfId="0" applyAlignment="1" applyFont="1">
      <alignment readingOrder="0" shrinkToFit="0" vertical="center" wrapText="1"/>
    </xf>
    <xf borderId="0" fillId="0" fontId="1" numFmtId="165" xfId="0" applyAlignment="1" applyFont="1" applyNumberFormat="1">
      <alignment shrinkToFit="0" vertical="center" wrapText="0"/>
    </xf>
    <xf borderId="0" fillId="0" fontId="1" numFmtId="0" xfId="0" applyAlignment="1" applyFont="1">
      <alignment readingOrder="0" shrinkToFit="0" vertical="center" wrapText="0"/>
    </xf>
    <xf borderId="0" fillId="0" fontId="16"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7" numFmtId="0" xfId="0" applyAlignment="1" applyFont="1">
      <alignment readingOrder="0" shrinkToFit="0" vertical="center" wrapText="1"/>
    </xf>
    <xf borderId="0" fillId="0" fontId="1" numFmtId="0" xfId="0" applyAlignment="1" applyFont="1">
      <alignment shrinkToFit="0" vertical="center" wrapText="0"/>
    </xf>
    <xf borderId="0" fillId="0" fontId="18" numFmtId="0" xfId="0" applyAlignment="1" applyFont="1">
      <alignment readingOrder="0" shrinkToFit="0" vertical="center" wrapText="0"/>
    </xf>
    <xf borderId="0" fillId="0" fontId="1" numFmtId="0" xfId="0" applyAlignment="1" applyFont="1">
      <alignment shrinkToFit="0" vertical="center" wrapText="0"/>
    </xf>
    <xf borderId="0" fillId="0" fontId="19" numFmtId="0" xfId="0" applyAlignment="1" applyFont="1">
      <alignmen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shrinkToFit="0" vertical="center" wrapText="1"/>
    </xf>
    <xf borderId="0" fillId="6" fontId="20" numFmtId="0" xfId="0" applyAlignment="1" applyFill="1" applyFont="1">
      <alignment readingOrder="0" shrinkToFit="0" vertical="center" wrapText="0"/>
    </xf>
    <xf borderId="0" fillId="0" fontId="1" numFmtId="49" xfId="0" applyAlignment="1" applyFont="1" applyNumberFormat="1">
      <alignment shrinkToFit="0" vertical="center" wrapText="0"/>
    </xf>
    <xf borderId="0" fillId="0" fontId="2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22" numFmtId="0" xfId="0" applyAlignment="1" applyFont="1">
      <alignment readingOrder="0" shrinkToFit="0" vertical="center" wrapText="1"/>
    </xf>
    <xf borderId="0" fillId="0" fontId="1" numFmtId="49" xfId="0" applyAlignment="1" applyFont="1" applyNumberFormat="1">
      <alignment shrinkToFit="0" vertical="center" wrapText="0"/>
    </xf>
    <xf borderId="0" fillId="0" fontId="23" numFmtId="0" xfId="0" applyAlignment="1" applyFont="1">
      <alignment readingOrder="0" shrinkToFit="0" vertical="center" wrapText="0"/>
    </xf>
    <xf borderId="1" fillId="0" fontId="1" numFmtId="0" xfId="0" applyAlignment="1" applyBorder="1" applyFont="1">
      <alignment readingOrder="0" shrinkToFit="0" vertical="center" wrapText="0"/>
    </xf>
    <xf borderId="1" fillId="0" fontId="24"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49"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25"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0"/>
    </xf>
    <xf borderId="1" fillId="0" fontId="1" numFmtId="165"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26" numFmtId="0" xfId="0" applyAlignment="1" applyBorder="1" applyFont="1">
      <alignment readingOrder="0" shrinkToFit="0" vertical="center" wrapText="1"/>
    </xf>
    <xf borderId="1" fillId="0" fontId="1" numFmtId="0" xfId="0" applyAlignment="1" applyBorder="1" applyFont="1">
      <alignment shrinkToFit="0" vertical="center" wrapText="0"/>
    </xf>
    <xf borderId="1" fillId="0" fontId="27"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0" fontId="5"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top" wrapText="1"/>
    </xf>
    <xf borderId="0" fillId="0" fontId="1" numFmtId="49" xfId="0" applyAlignment="1" applyFont="1" applyNumberFormat="1">
      <alignment horizontal="left" readingOrder="0" shrinkToFit="0" vertical="center" wrapText="1"/>
    </xf>
    <xf borderId="0" fillId="0" fontId="28" numFmtId="49" xfId="0" applyAlignment="1" applyFont="1" applyNumberForma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7" fontId="1" numFmtId="0" xfId="0" applyAlignment="1" applyFill="1" applyFont="1">
      <alignment readingOrder="0" shrinkToFit="0" vertical="center" wrapText="0"/>
    </xf>
    <xf borderId="0" fillId="0" fontId="29" numFmtId="0" xfId="0" applyAlignment="1" applyFont="1">
      <alignment readingOrder="0" shrinkToFit="0" vertical="center" wrapText="0"/>
    </xf>
    <xf borderId="0" fillId="0" fontId="30" numFmtId="0" xfId="0" applyAlignment="1" applyFont="1">
      <alignment readingOrder="0" shrinkToFit="0" vertical="center" wrapText="0"/>
    </xf>
    <xf borderId="0" fillId="0" fontId="31" numFmtId="165" xfId="0" applyAlignment="1" applyFont="1" applyNumberFormat="1">
      <alignment shrinkToFit="0" vertical="center" wrapText="0"/>
    </xf>
    <xf borderId="0" fillId="0" fontId="31" numFmtId="0" xfId="0" applyAlignment="1" applyFont="1">
      <alignment readingOrder="0" shrinkToFit="0" vertical="center" wrapText="0"/>
    </xf>
    <xf borderId="0" fillId="0" fontId="31" numFmtId="0" xfId="0" applyAlignment="1" applyFont="1">
      <alignment readingOrder="0" shrinkToFit="0" vertical="center" wrapText="1"/>
    </xf>
    <xf borderId="0" fillId="0" fontId="31" numFmtId="0" xfId="0" applyAlignment="1" applyFont="1">
      <alignment shrinkToFit="0" vertical="center" wrapText="0"/>
    </xf>
    <xf borderId="0" fillId="0" fontId="31" numFmtId="0" xfId="0" applyAlignment="1" applyFont="1">
      <alignment readingOrder="0" shrinkToFit="0" vertical="center" wrapText="0"/>
    </xf>
    <xf borderId="0" fillId="0" fontId="31" numFmtId="0" xfId="0" applyAlignment="1" applyFont="1">
      <alignment readingOrder="0" shrinkToFit="0" vertical="center" wrapText="0"/>
    </xf>
    <xf borderId="0" fillId="0" fontId="31" numFmtId="0" xfId="0" applyAlignment="1" applyFont="1">
      <alignment readingOrder="0" shrinkToFit="0" vertical="center" wrapText="0"/>
    </xf>
    <xf borderId="0" fillId="0" fontId="31" numFmtId="0" xfId="0" applyFont="1"/>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1" numFmtId="0" xfId="0" applyAlignment="1" applyFont="1">
      <alignment readingOrder="0"/>
    </xf>
    <xf borderId="0" fillId="0" fontId="31" numFmtId="0" xfId="0" applyAlignment="1" applyFont="1">
      <alignment readingOrder="0" shrinkToFit="0" wrapText="1"/>
    </xf>
    <xf borderId="0" fillId="0" fontId="1" numFmtId="0" xfId="0" applyAlignment="1" applyFont="1">
      <alignment readingOrder="0" shrinkToFit="0" wrapText="1"/>
    </xf>
    <xf borderId="0" fillId="8" fontId="1" numFmtId="0" xfId="0" applyAlignment="1" applyFill="1" applyFont="1">
      <alignment readingOrder="0"/>
    </xf>
    <xf borderId="0" fillId="8" fontId="1" numFmtId="0" xfId="0" applyFont="1"/>
    <xf borderId="0" fillId="8" fontId="1" numFmtId="0" xfId="0" applyAlignment="1" applyFont="1">
      <alignment shrinkToFit="0" wrapText="1"/>
    </xf>
    <xf borderId="0" fillId="0" fontId="5" numFmtId="0" xfId="0" applyAlignment="1" applyFont="1">
      <alignment horizontal="center" readingOrder="0" shrinkToFit="0" vertical="center" wrapText="0"/>
    </xf>
    <xf borderId="0" fillId="0" fontId="1" numFmtId="0" xfId="0" applyAlignment="1" applyFont="1">
      <alignment shrinkToFit="0" wrapText="0"/>
    </xf>
    <xf borderId="0" fillId="0" fontId="32" numFmtId="0" xfId="0" applyAlignment="1" applyFont="1">
      <alignment readingOrder="0" shrinkToFit="0" wrapText="0"/>
    </xf>
    <xf borderId="0" fillId="0" fontId="1" numFmtId="0" xfId="0" applyAlignment="1" applyFont="1">
      <alignment readingOrder="0" shrinkToFit="0" wrapText="0"/>
    </xf>
    <xf borderId="0" fillId="0" fontId="1" numFmtId="14" xfId="0" applyAlignment="1" applyFont="1" applyNumberFormat="1">
      <alignment readingOrder="0" shrinkToFit="0" wrapText="0"/>
    </xf>
    <xf borderId="0" fillId="0" fontId="5" numFmtId="0" xfId="0" applyAlignment="1" applyFont="1">
      <alignment readingOrder="0" shrinkToFit="0" wrapText="0"/>
    </xf>
    <xf borderId="0" fillId="0" fontId="1" numFmtId="166" xfId="0" applyAlignment="1" applyFont="1" applyNumberFormat="1">
      <alignment readingOrder="0"/>
    </xf>
    <xf borderId="0" fillId="0" fontId="33" numFmtId="0" xfId="0" applyAlignment="1" applyFont="1">
      <alignment readingOrder="0" shrinkToFit="0" wrapText="0"/>
    </xf>
    <xf borderId="0" fillId="0" fontId="1" numFmtId="166" xfId="0" applyAlignment="1" applyFont="1" applyNumberFormat="1">
      <alignment readingOrder="0" shrinkToFit="0" wrapText="0"/>
    </xf>
    <xf borderId="0" fillId="0" fontId="34" numFmtId="0" xfId="0" applyAlignment="1" applyFont="1">
      <alignment readingOrder="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D9D9D9"/>
          <bgColor rgb="FFD9D9D9"/>
        </patternFill>
      </fill>
      <border/>
    </dxf>
    <dxf>
      <font/>
      <fill>
        <patternFill patternType="solid">
          <fgColor rgb="FFD9EAD3"/>
          <bgColor rgb="FFD9EAD3"/>
        </patternFill>
      </fill>
      <border/>
    </dxf>
    <dxf>
      <font/>
      <fill>
        <patternFill patternType="solid">
          <fgColor rgb="FFB7E1CD"/>
          <bgColor rgb="FFB7E1CD"/>
        </patternFill>
      </fill>
      <border/>
    </dxf>
  </dxfs>
  <tableStyles count="9">
    <tableStyle count="4" pivot="0" name="固定シナリオサンプルFB-style">
      <tableStyleElement dxfId="1" type="headerRow"/>
      <tableStyleElement dxfId="2" type="firstRowStripe"/>
      <tableStyleElement dxfId="3" type="secondRowStripe"/>
      <tableStyleElement dxfId="4" size="0" type="wholeTable"/>
    </tableStyle>
    <tableStyle count="4" pivot="0" name="商談┃診療デモFB-style">
      <tableStyleElement dxfId="1" type="headerRow"/>
      <tableStyleElement dxfId="2" type="firstRowStripe"/>
      <tableStyleElement dxfId="3" type="secondRowStripe"/>
      <tableStyleElement dxfId="4" size="0" type="wholeTable"/>
    </tableStyle>
    <tableStyle count="2" pivot="0" name="WBS-style">
      <tableStyleElement dxfId="2" type="firstRowStripe"/>
      <tableStyleElement dxfId="2" type="secondRowStripe"/>
    </tableStyle>
    <tableStyle count="4" pivot="0" name="WBS-style 2">
      <tableStyleElement dxfId="5" type="headerRow"/>
      <tableStyleElement dxfId="2" type="firstRowStripe"/>
      <tableStyleElement dxfId="2" type="secondRowStripe"/>
      <tableStyleElement dxfId="4" size="0" type="wholeTable"/>
    </tableStyle>
    <tableStyle count="2" pivot="0" name="WBS（Dev3専用）-style">
      <tableStyleElement dxfId="2" type="firstRowStripe"/>
      <tableStyleElement dxfId="2" type="secondRowStripe"/>
    </tableStyle>
    <tableStyle count="4" pivot="0" name="WBS（Dev3専用）-style 2">
      <tableStyleElement dxfId="5" type="headerRow"/>
      <tableStyleElement dxfId="2" type="firstRowStripe"/>
      <tableStyleElement dxfId="2" type="secondRowStripe"/>
      <tableStyleElement dxfId="4" size="0" type="wholeTable"/>
    </tableStyle>
    <tableStyle count="4" pivot="0" name="DrJOY内部用質問管理表-style">
      <tableStyleElement dxfId="1" type="headerRow"/>
      <tableStyleElement dxfId="2" type="firstRowStripe"/>
      <tableStyleElement dxfId="3" type="secondRowStripe"/>
      <tableStyleElement dxfId="4" size="0" type="wholeTable"/>
    </tableStyle>
    <tableStyle count="4" pivot="0" name="WBS_VN-style">
      <tableStyleElement dxfId="5" type="headerRow"/>
      <tableStyleElement dxfId="2" type="firstRowStripe"/>
      <tableStyleElement dxfId="3" type="secondRowStripe"/>
      <tableStyleElement dxfId="4" size="0" type="wholeTable"/>
    </tableStyle>
    <tableStyle count="4" pivot="0" name="050比較-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c65ae139-c408-42ea-b1fb-08102b450f41}">
    <Anchor>
      <Comment id="{bf9bd516-214c-4972-b130-2154fc8c9239}"/>
    </Anchor>
    <History>
      <Event time="2025-09-16T05:47:02.00" id="{03c774bb-d787-47de-9feb-a951be7732df}">
        <Attribution userId="placeholder@email.com" userName="井上卓哉" userProvider="google-sheets"/>
        <Anchor>
          <Comment id="{bf9bd516-214c-4972-b130-2154fc8c9239}"/>
        </Anchor>
        <Create/>
      </Event>
      <Event time="2025-09-16T05:47:02.00" id="{9eb45b1a-aa59-42cd-9dd1-231f7073ab84}">
        <Attribution userId="placeholder@email.com" userName="井上卓哉" userProvider="google-sheets"/>
        <Anchor>
          <Comment id="{bf9bd516-214c-4972-b130-2154fc8c9239}"/>
        </Anchor>
        <Assign userId="sumi.k@drjoy.jp" userName="sumi.k@drjoy.jp" userProvider="google-sheets"/>
      </Event>
    </History>
  </Task>
</Tasks>
</file>

<file path=xl/documenttasks/documenttask3.xml><?xml version="1.0" encoding="utf-8"?>
<Tasks xmlns="http://schemas.microsoft.com/office/tasks/2019/documenttasks">
  <Task id="{fd2f7123-3224-4ffc-a2a5-fcddbe731039}">
    <Anchor>
      <Comment id="{ef6ab73b-d76d-4094-8cd7-8f4aaed9edb3}"/>
    </Anchor>
    <History>
      <Event time="2025-11-05T09:01:10.00" id="{090738b3-63d3-45ea-ba72-472b8196bb0e}">
        <Attribution userId="placeholder@email.com" userName="杉本尚士" userProvider="google-sheets"/>
        <Anchor>
          <Comment id="{ef6ab73b-d76d-4094-8cd7-8f4aaed9edb3}"/>
        </Anchor>
        <Create/>
      </Event>
      <Event time="2025-11-05T09:01:10.00" id="{cb4f3da8-15a8-4b63-a2eb-655a1dec5033}">
        <Attribution userId="placeholder@email.com" userName="杉本尚士" userProvider="google-sheets"/>
        <Anchor>
          <Comment id="{ef6ab73b-d76d-4094-8cd7-8f4aaed9edb3}"/>
        </Anchor>
        <Assign userId="sugimoto.n@drjoy.jp" userName="sugimoto.n@drjoy.jp" userProvider="google-sheets"/>
      </Event>
    </History>
  </Task>
  <Task id="{7a4a68df-a03e-4dcd-ac5a-28a3ef60579c}">
    <Anchor>
      <Comment id="{06629362-88f7-4c78-af5a-d49fa46bc713}"/>
    </Anchor>
    <History>
      <Event time="2026-03-03T08:47:50.00" id="{52b0153d-f59d-48d6-92bd-dfc0d56f501d}">
        <Attribution userId="placeholder@email.com" userName="井上卓哉" userProvider="google-sheets"/>
        <Anchor>
          <Comment id="{06629362-88f7-4c78-af5a-d49fa46bc713}"/>
        </Anchor>
        <Create/>
      </Event>
      <Event time="2026-03-03T08:47:50.00" id="{e98a1da1-5590-420d-8add-2ff11f5f04ea}">
        <Attribution userId="placeholder@email.com" userName="井上卓哉" userProvider="google-sheets"/>
        <Anchor>
          <Comment id="{06629362-88f7-4c78-af5a-d49fa46bc713}"/>
        </Anchor>
        <Assign userId="hamaguchi.t@drjoy.jp" userName="hamaguchi.t@drjoy.jp" userProvider="google-sheets"/>
      </Event>
    </History>
  </Task>
  <Task id="{52edb602-8e74-485c-8717-63c9801cd323}">
    <Anchor>
      <Comment id="{35d389ae-e661-40f4-a4a7-bf28aed0df30}"/>
    </Anchor>
    <History>
      <Event time="2025-10-29T08:41:51.00" id="{f0428edf-1943-4b9d-a794-6d881f7b48fe}">
        <Attribution userId="placeholder@email.com" userName="井上卓哉" userProvider="google-sheets"/>
        <Anchor>
          <Comment id="{35d389ae-e661-40f4-a4a7-bf28aed0df30}"/>
        </Anchor>
        <Create/>
      </Event>
      <Event time="2025-10-29T08:41:51.00" id="{51d6be2c-3e52-4f60-acc3-60ecb52f417c}">
        <Attribution userId="placeholder@email.com" userName="井上卓哉" userProvider="google-sheets"/>
        <Anchor>
          <Comment id="{35d389ae-e661-40f4-a4a7-bf28aed0df30}"/>
        </Anchor>
        <Assign userId="sugimoto.n@drjoy.jp" userName="sugimoto.n@drjoy.jp" userProvider="google-sheets"/>
      </Event>
    </History>
  </Task>
  <Task id="{11ec448f-9ab5-4fbc-be31-b57f76654d69}">
    <Anchor>
      <Comment id="{988b07f0-d288-4795-a886-5b400bd70d34}"/>
    </Anchor>
    <History>
      <Event time="2025-08-28T08:34:46.00" id="{7ee5e037-a1c1-446b-a8f0-1ef48ce0c80c}">
        <Attribution userId="placeholder@email.com" userName="杉本尚士" userProvider="google-sheets"/>
        <Anchor>
          <Comment id="{988b07f0-d288-4795-a886-5b400bd70d34}"/>
        </Anchor>
        <Create/>
      </Event>
      <Event time="2025-08-28T08:34:46.00" id="{8fef4766-d0c3-4003-9be7-5386004bfe1d}">
        <Attribution userId="placeholder@email.com" userName="杉本尚士" userProvider="google-sheets"/>
        <Anchor>
          <Comment id="{988b07f0-d288-4795-a886-5b400bd70d34}"/>
        </Anchor>
        <Assign userId="sugimoto.n@drjoy.jp" userName="sugimoto.n@drjoy.jp" userProvider="google-sheets"/>
      </Event>
    </History>
  </Task>
  <Task id="{74e73bb0-da4b-4eed-a3ba-fa14a6c84e50}">
    <Anchor>
      <Comment id="{7dd4b091-620d-4cc1-bd45-23805742f3aa}"/>
    </Anchor>
    <History>
      <Event time="2026-03-03T08:42:24.00" id="{2098ec31-241a-448e-bfe8-0dd4521d8f76}">
        <Attribution userId="placeholder@email.com" userName="井上卓哉" userProvider="google-sheets"/>
        <Anchor>
          <Comment id="{7dd4b091-620d-4cc1-bd45-23805742f3aa}"/>
        </Anchor>
        <Create/>
      </Event>
      <Event time="2026-03-03T08:42:24.00" id="{e41dc9ab-4dde-420f-bc09-54525697249e}">
        <Attribution userId="placeholder@email.com" userName="井上卓哉" userProvider="google-sheets"/>
        <Anchor>
          <Comment id="{7dd4b091-620d-4cc1-bd45-23805742f3aa}"/>
        </Anchor>
        <Assign userId="sugimoto.n@drjoy.jp" userName="sugimoto.n@drjoy.jp" userProvider="google-sheets"/>
      </Event>
    </History>
  </Task>
  <Task id="{46da2513-a4d0-4f0c-87fe-df09ade4ce95}">
    <Anchor>
      <Comment id="{154c527b-6005-46d9-b9a9-a568440540f1}"/>
    </Anchor>
    <History>
      <Event time="2025-10-29T08:39:12.00" id="{62794d82-98a5-4baa-a867-0c95d9874db3}">
        <Attribution userId="placeholder@email.com" userName="井上卓哉" userProvider="google-sheets"/>
        <Anchor>
          <Comment id="{154c527b-6005-46d9-b9a9-a568440540f1}"/>
        </Anchor>
        <Create/>
      </Event>
      <Event time="2025-10-29T08:39:12.00" id="{14d4126d-ccb7-4290-8ae3-db66f6a693af}">
        <Attribution userId="placeholder@email.com" userName="井上卓哉" userProvider="google-sheets"/>
        <Anchor>
          <Comment id="{154c527b-6005-46d9-b9a9-a568440540f1}"/>
        </Anchor>
        <Assign userId="sugimoto.n@drjoy.jp" userName="sugimoto.n@drjoy.jp" userProvider="google-sheets"/>
      </Event>
    </History>
  </Task>
  <Task id="{d27fccbd-31d7-4c24-bb2e-275c46bbe2d0}">
    <Anchor>
      <Comment id="{56fcbe5e-b4f8-486f-b410-6734b890eb2e}"/>
    </Anchor>
    <History>
      <Event time="2025-11-07T08:17:06.00" id="{69099f51-2057-4140-b67b-2fb8cc9cda7e}">
        <Attribution userId="placeholder@email.com" userName="井上卓哉" userProvider="google-sheets"/>
        <Anchor>
          <Comment id="{56fcbe5e-b4f8-486f-b410-6734b890eb2e}"/>
        </Anchor>
        <Create/>
      </Event>
      <Event time="2025-11-07T08:17:06.00" id="{c4b7aa49-264b-463d-ab69-ff8fb96edf17}">
        <Attribution userId="placeholder@email.com" userName="井上卓哉" userProvider="google-sheets"/>
        <Anchor>
          <Comment id="{56fcbe5e-b4f8-486f-b410-6734b890eb2e}"/>
        </Anchor>
        <Assign userId="sugimoto.n@drjoy.jp" userName="sugimoto.n@drjoy.jp" userProvider="google-sheets"/>
      </Event>
    </History>
  </Task>
  <Task id="{62a1ad07-b9f2-49b6-a13a-b14e54196840}">
    <Anchor>
      <Comment id="{06f0c4b9-a6eb-4777-a104-0461cfee87e9}"/>
    </Anchor>
    <History>
      <Event time="2025-09-09T08:25:16.00" id="{65e13412-1444-4df0-8193-f9448f7842bf}">
        <Attribution userId="placeholder@email.com" userName="杉本尚士" userProvider="google-sheets"/>
        <Anchor>
          <Comment id="{06f0c4b9-a6eb-4777-a104-0461cfee87e9}"/>
        </Anchor>
        <Create/>
      </Event>
      <Event time="2025-09-09T08:25:16.00" id="{136809dc-35bd-40ac-8ecc-af5b2ee96147}">
        <Attribution userId="placeholder@email.com" userName="杉本尚士" userProvider="google-sheets"/>
        <Anchor>
          <Comment id="{06f0c4b9-a6eb-4777-a104-0461cfee87e9}"/>
        </Anchor>
        <Assign userId="sugimoto.n@drjoy.jp" userName="sugimoto.n@drjoy.jp" userProvider="google-sheets"/>
      </Event>
    </History>
  </Task>
  <Task id="{a6a17392-56ac-4d6b-82ec-43d4e8474c9d}">
    <Anchor>
      <Comment id="{3d2a4777-2b0b-467b-b4d3-82731195356d}"/>
    </Anchor>
    <History>
      <Event time="2025-09-08T08:26:49.00" id="{d79d0107-0e75-4f8b-84f3-d5eae80f3274}">
        <Attribution userId="placeholder@email.com" userName="杉本尚士" userProvider="google-sheets"/>
        <Anchor>
          <Comment id="{3d2a4777-2b0b-467b-b4d3-82731195356d}"/>
        </Anchor>
        <Create/>
      </Event>
      <Event time="2025-09-08T08:26:49.00" id="{539f9b3b-0162-45b7-95fd-9a049bf96f59}">
        <Attribution userId="placeholder@email.com" userName="杉本尚士" userProvider="google-sheets"/>
        <Anchor>
          <Comment id="{3d2a4777-2b0b-467b-b4d3-82731195356d}"/>
        </Anchor>
        <Assign userId="sumi.k@drjoy.jp" userName="sumi.k@drjoy.jp" userProvider="google-sheets"/>
      </Event>
    </History>
  </Task>
  <Task id="{3a831d81-b82e-4255-b287-26ca09a59fcf}">
    <Anchor>
      <Comment id="{5671f58c-66a5-4336-b7e6-ed65a230c002}"/>
    </Anchor>
    <History>
      <Event time="2025-10-29T08:38:50.00" id="{209e1041-94e2-4712-b99d-e006baba59df}">
        <Attribution userId="placeholder@email.com" userName="井上卓哉" userProvider="google-sheets"/>
        <Anchor>
          <Comment id="{5671f58c-66a5-4336-b7e6-ed65a230c002}"/>
        </Anchor>
        <Create/>
      </Event>
      <Event time="2025-10-29T08:38:50.00" id="{21257042-ab00-4327-97bb-964b4ca1825b}">
        <Attribution userId="placeholder@email.com" userName="井上卓哉" userProvider="google-sheets"/>
        <Anchor>
          <Comment id="{5671f58c-66a5-4336-b7e6-ed65a230c002}"/>
        </Anchor>
        <Assign userId="sugimoto.n@drjoy.jp" userName="sugimoto.n@drjoy.jp" userProvider="google-sheets"/>
      </Event>
    </History>
  </Task>
  <Task id="{4d2e91cb-3d71-4056-bc3f-91e365dd0d04}">
    <Anchor>
      <Comment id="{cc214cc3-b192-4fe0-ac50-ad88b97d12bd}"/>
    </Anchor>
    <History>
      <Event time="2025-12-10T08:16:11.00" id="{016a9c90-ad40-467f-be8e-0487ae566de7}">
        <Attribution userId="placeholder@email.com" userName="井上卓哉" userProvider="google-sheets"/>
        <Anchor>
          <Comment id="{cc214cc3-b192-4fe0-ac50-ad88b97d12bd}"/>
        </Anchor>
        <Create/>
      </Event>
      <Event time="2025-12-10T08:16:11.00" id="{99a88eaf-9dc1-4e77-bf65-dd90d2189216}">
        <Attribution userId="placeholder@email.com" userName="井上卓哉" userProvider="google-sheets"/>
        <Anchor>
          <Comment id="{cc214cc3-b192-4fe0-ac50-ad88b97d12bd}"/>
        </Anchor>
        <Assign userId="sugimoto.n@drjoy.jp" userName="sugimoto.n@drjoy.jp" userProvider="google-sheets"/>
      </Event>
    </History>
  </Task>
  <Task id="{1ba11af9-d8e2-405e-988a-2be85f30ba00}">
    <Anchor>
      <Comment id="{270c5e28-e6f8-4a07-8473-3b25f57d2487}"/>
    </Anchor>
    <History>
      <Event time="2025-11-25T09:43:16.00" id="{edc050b2-9ace-4a18-a818-9e6c9a655bde}">
        <Attribution userId="placeholder@email.com" userName="ハルThanh" userProvider="google-sheets"/>
        <Anchor>
          <Comment id="{270c5e28-e6f8-4a07-8473-3b25f57d2487}"/>
        </Anchor>
        <Create/>
      </Event>
      <Event time="2025-11-25T09:43:16.00" id="{3f435dd4-c8ae-4f6e-9f0a-be348cdfa5c9}">
        <Attribution userId="placeholder@email.com" userName="ハルThanh" userProvider="google-sheets"/>
        <Anchor>
          <Comment id="{270c5e28-e6f8-4a07-8473-3b25f57d2487}"/>
        </Anchor>
        <Assign userId="inoue.t@drjoy.jp" userName="inoue.t@drjoy.jp" userProvider="google-sheets"/>
      </Event>
    </History>
  </Task>
  <Task id="{858dfe79-1e30-4421-ba03-4835e1d92e62}">
    <Anchor>
      <Comment id="{8896f8ee-1ebe-45eb-a2e7-da10899700fd}"/>
    </Anchor>
    <History>
      <Event time="2025-11-21T05:33:22.00" id="{22c260e9-b8ca-425d-ab53-1c984bfbc966}">
        <Attribution userId="placeholder@email.com" userName="井上卓哉" userProvider="google-sheets"/>
        <Anchor>
          <Comment id="{8896f8ee-1ebe-45eb-a2e7-da10899700fd}"/>
        </Anchor>
        <Create/>
      </Event>
      <Event time="2025-11-21T05:33:22.00" id="{357df1cb-dca5-4c89-818b-2130a7c2a35e}">
        <Attribution userId="placeholder@email.com" userName="井上卓哉" userProvider="google-sheets"/>
        <Anchor>
          <Comment id="{8896f8ee-1ebe-45eb-a2e7-da10899700fd}"/>
        </Anchor>
        <Assign userId="inoue.t@drjoy.jp" userName="inoue.t@drjoy.jp" userProvider="google-sheets"/>
      </Event>
    </History>
  </Task>
  <Task id="{57c632af-7f6d-4133-b617-e60c43067a2d}">
    <Anchor>
      <Comment id="{b8d42bd1-7c06-41d7-a283-5d342356447b}"/>
    </Anchor>
    <History>
      <Event time="2026-01-23T08:44:52.00" id="{0cba74ea-4e85-45d9-8537-83e7c8d35ae0}">
        <Attribution userId="placeholder@email.com" userName="井上卓哉" userProvider="google-sheets"/>
        <Anchor>
          <Comment id="{b8d42bd1-7c06-41d7-a283-5d342356447b}"/>
        </Anchor>
        <Create/>
      </Event>
      <Event time="2026-01-23T08:44:52.00" id="{1fcac41e-76b9-4c2c-870e-d65e4cd29af6}">
        <Attribution userId="placeholder@email.com" userName="井上卓哉" userProvider="google-sheets"/>
        <Anchor>
          <Comment id="{b8d42bd1-7c06-41d7-a283-5d342356447b}"/>
        </Anchor>
        <Assign userId="thanh.pham@drjoy.vn" userName="thanh.pham@drjoy.vn" userProvider="google-sheets"/>
      </Event>
    </History>
  </Task>
  <Task id="{116dfcf5-5357-4b66-b27b-9532c5c66e48}">
    <Anchor>
      <Comment id="{b830e902-b72a-4ca8-8c37-33858da36b97}"/>
    </Anchor>
    <History>
      <Event time="2025-10-24T08:22:20.00" id="{7d4c2623-7a36-4708-8fa7-5b710ef8f79e}">
        <Attribution userId="placeholder@email.com" userName="井上卓哉" userProvider="google-sheets"/>
        <Anchor>
          <Comment id="{b830e902-b72a-4ca8-8c37-33858da36b97}"/>
        </Anchor>
        <Create/>
      </Event>
      <Event time="2025-10-24T08:22:20.00" id="{b9686ed5-d9a4-4dfe-82ca-c47eca05c7ca}">
        <Attribution userId="placeholder@email.com" userName="井上卓哉" userProvider="google-sheets"/>
        <Anchor>
          <Comment id="{b830e902-b72a-4ca8-8c37-33858da36b97}"/>
        </Anchor>
        <Assign userId="sugimoto.n@drjoy.jp" userName="sugimoto.n@drjoy.jp" userProvider="google-sheets"/>
      </Event>
    </History>
  </Task>
  <Task id="{f767bcbd-fb58-493f-961f-770232e88749}">
    <Anchor>
      <Comment id="{1bee9ee6-60ce-41bc-bbea-01f4ba0814bf}"/>
    </Anchor>
    <History>
      <Event time="2025-12-05T08:11:05.00" id="{97d47648-866c-4ebd-9882-7ac7facb5018}">
        <Attribution userId="placeholder@email.com" userName="井上卓哉" userProvider="google-sheets"/>
        <Anchor>
          <Comment id="{1bee9ee6-60ce-41bc-bbea-01f4ba0814bf}"/>
        </Anchor>
        <Create/>
      </Event>
      <Event time="2025-12-05T08:11:05.00" id="{0eae5df9-3211-4c3c-b66c-92ebc8f83c4a}">
        <Attribution userId="placeholder@email.com" userName="井上卓哉" userProvider="google-sheets"/>
        <Anchor>
          <Comment id="{1bee9ee6-60ce-41bc-bbea-01f4ba0814bf}"/>
        </Anchor>
        <Assign userId="inoue.t@drjoy.jp" userName="inoue.t@drjoy.jp" userProvider="google-sheets"/>
      </Event>
    </History>
  </Task>
  <Task id="{9afd15b3-3be2-43a8-b3c6-17971a6eb32d}">
    <Anchor>
      <Comment id="{d9e5b9ab-b70d-4bcb-adc1-c3591f89287c}"/>
    </Anchor>
    <History>
      <Event time="2025-12-15T09:27:32.00" id="{f34ed666-d9f7-4a7d-904b-5a88dfd188d3}">
        <Attribution userId="placeholder@email.com" userName="ハルThanh" userProvider="google-sheets"/>
        <Anchor>
          <Comment id="{d9e5b9ab-b70d-4bcb-adc1-c3591f89287c}"/>
        </Anchor>
        <Create/>
      </Event>
      <Event time="2025-12-15T09:27:32.00" id="{bbab155b-ea06-4483-b6a6-33f9fea7a395}">
        <Attribution userId="placeholder@email.com" userName="ハルThanh" userProvider="google-sheets"/>
        <Anchor>
          <Comment id="{d9e5b9ab-b70d-4bcb-adc1-c3591f89287c}"/>
        </Anchor>
        <Assign userId="inoue.t@drjoy.jp" userName="inoue.t@drjoy.jp" userProvider="google-sheets"/>
      </Event>
    </History>
  </Task>
  <Task id="{62745da8-5ff8-4e2b-89cb-f898fe4af6e4}">
    <Anchor>
      <Comment id="{d6e72ac8-2f21-4ada-bdf0-a59658b63003}"/>
    </Anchor>
    <History>
      <Event time="2025-10-29T08:38:30.00" id="{d7a47b4b-f92a-4a4d-9218-ffb785a219c0}">
        <Attribution userId="placeholder@email.com" userName="井上卓哉" userProvider="google-sheets"/>
        <Anchor>
          <Comment id="{d6e72ac8-2f21-4ada-bdf0-a59658b63003}"/>
        </Anchor>
        <Create/>
      </Event>
      <Event time="2025-10-29T08:38:30.00" id="{cdeed1c5-190e-45d5-a69f-f07c6a66970f}">
        <Attribution userId="placeholder@email.com" userName="井上卓哉" userProvider="google-sheets"/>
        <Anchor>
          <Comment id="{d6e72ac8-2f21-4ada-bdf0-a59658b63003}"/>
        </Anchor>
        <Assign userId="sugimoto.n@drjoy.jp" userName="sugimoto.n@drjoy.jp" userProvider="google-sheets"/>
      </Event>
    </History>
  </Task>
  <Task id="{4407dfaa-30b4-4333-9be0-4fb73c61ded1}">
    <Anchor>
      <Comment id="{e495f6e9-078a-4d3b-a757-c2ef808e61af}"/>
    </Anchor>
    <History>
      <Event time="2025-10-29T08:42:38.00" id="{ca6b4faa-c564-4566-b208-945c255c7290}">
        <Attribution userId="placeholder@email.com" userName="井上卓哉" userProvider="google-sheets"/>
        <Anchor>
          <Comment id="{e495f6e9-078a-4d3b-a757-c2ef808e61af}"/>
        </Anchor>
        <Create/>
      </Event>
      <Event time="2025-10-29T08:42:38.00" id="{9f5f9fd1-b3c5-4ed4-aee8-e9fbf9446339}">
        <Attribution userId="placeholder@email.com" userName="井上卓哉" userProvider="google-sheets"/>
        <Anchor>
          <Comment id="{e495f6e9-078a-4d3b-a757-c2ef808e61af}"/>
        </Anchor>
        <Assign userId="sugimoto.n@drjoy.jp" userName="sugimoto.n@drjoy.jp" userProvider="google-sheets"/>
      </Event>
    </History>
  </Task>
  <Task id="{0123331f-1be2-446d-9d40-7eba55d8844f}">
    <Anchor>
      <Comment id="{f3555841-9c9d-4ec2-9c09-be4fbd846fed}"/>
    </Anchor>
    <History>
      <Event time="2025-11-12T08:24:12.00" id="{82e76be8-b154-4160-8af1-5f18cb861443}">
        <Attribution userId="placeholder@email.com" userName="井上卓哉" userProvider="google-sheets"/>
        <Anchor>
          <Comment id="{f3555841-9c9d-4ec2-9c09-be4fbd846fed}"/>
        </Anchor>
        <Create/>
      </Event>
      <Event time="2025-11-12T08:24:12.00" id="{78c98423-3e25-4f30-bfa9-dbf0cbbb77a5}">
        <Attribution userId="placeholder@email.com" userName="井上卓哉" userProvider="google-sheets"/>
        <Anchor>
          <Comment id="{f3555841-9c9d-4ec2-9c09-be4fbd846fed}"/>
        </Anchor>
        <Assign userId="sugimoto.n@drjoy.jp" userName="sugimoto.n@drjoy.jp" userProvider="google-sheets"/>
      </Event>
    </History>
  </Task>
  <Task id="{cc4c8301-d096-4505-8cc9-e7e319240e2f}">
    <Anchor>
      <Comment id="{5045268d-047f-4b80-9615-231762b1b2b4}"/>
    </Anchor>
    <History>
      <Event time="2026-01-05T08:17:59.00" id="{70ca63bd-17af-4d97-b2f4-f4b2ec0a84c9}">
        <Attribution userId="placeholder@email.com" userName="井上卓哉" userProvider="google-sheets"/>
        <Anchor>
          <Comment id="{5045268d-047f-4b80-9615-231762b1b2b4}"/>
        </Anchor>
        <Create/>
      </Event>
      <Event time="2026-01-05T08:17:59.00" id="{646047ae-dbbc-4c9f-bb95-f39ae9c7a62d}">
        <Attribution userId="placeholder@email.com" userName="井上卓哉" userProvider="google-sheets"/>
        <Anchor>
          <Comment id="{5045268d-047f-4b80-9615-231762b1b2b4}"/>
        </Anchor>
        <Assign userId="sugimoto.n@drjoy.jp" userName="sugimoto.n@drjoy.jp" userProvider="google-sheets"/>
      </Event>
    </History>
  </Task>
  <Task id="{4af05c26-cad8-4e82-9ee0-6a6398525708}">
    <Anchor>
      <Comment id="{ffda5f7d-bf60-44b9-9408-fc5fbbcd4424}"/>
    </Anchor>
    <History>
      <Event time="2025-11-05T08:38:24.00" id="{e848c95b-9ba1-4835-977a-ec7c656b5526}">
        <Attribution userId="placeholder@email.com" userName="井上卓哉" userProvider="google-sheets"/>
        <Anchor>
          <Comment id="{ffda5f7d-bf60-44b9-9408-fc5fbbcd4424}"/>
        </Anchor>
        <Create/>
      </Event>
      <Event time="2025-11-05T08:38:24.00" id="{a16e3415-62d6-4848-969c-7d970c38af04}">
        <Attribution userId="placeholder@email.com" userName="井上卓哉" userProvider="google-sheets"/>
        <Anchor>
          <Comment id="{ffda5f7d-bf60-44b9-9408-fc5fbbcd4424}"/>
        </Anchor>
        <Assign userId="inoue.t@drjoy.jp" userName="inoue.t@drjoy.jp" userProvider="google-sheets"/>
      </Event>
    </History>
  </Task>
  <Task id="{4abc644a-a219-4f18-b7be-545de2d2f926}">
    <Anchor>
      <Comment id="{f45cf727-b31a-4e05-8eb1-55980ba0180e}"/>
    </Anchor>
    <History>
      <Event time="2025-11-28T07:48:14.00" id="{893f05d5-5b1b-4e80-87db-7d6b93090414}">
        <Attribution userId="placeholder@email.com" userName="ハルThanh" userProvider="google-sheets"/>
        <Anchor>
          <Comment id="{f45cf727-b31a-4e05-8eb1-55980ba0180e}"/>
        </Anchor>
        <Create/>
      </Event>
      <Event time="2025-11-28T07:48:14.00" id="{960890c2-5b07-4425-b85d-442b8fc40132}">
        <Attribution userId="placeholder@email.com" userName="ハルThanh" userProvider="google-sheets"/>
        <Anchor>
          <Comment id="{f45cf727-b31a-4e05-8eb1-55980ba0180e}"/>
        </Anchor>
        <Assign userId="inoue.t@drjoy.jp" userName="inoue.t@drjoy.jp" userProvider="google-sheets"/>
      </Event>
    </History>
  </Task>
  <Task id="{09b55e03-72a4-4ae0-a90d-08247b800188}">
    <Anchor>
      <Comment id="{6b546b0a-827c-4717-a94c-037ce224efc6}"/>
    </Anchor>
    <History>
      <Event time="2025-10-29T08:42:20.00" id="{3fde1e35-414a-42a3-a19d-aa88f4f52ee5}">
        <Attribution userId="placeholder@email.com" userName="井上卓哉" userProvider="google-sheets"/>
        <Anchor>
          <Comment id="{6b546b0a-827c-4717-a94c-037ce224efc6}"/>
        </Anchor>
        <Create/>
      </Event>
      <Event time="2025-10-29T08:42:20.00" id="{fcece456-0832-444c-967e-04c9cb98aa19}">
        <Attribution userId="placeholder@email.com" userName="井上卓哉" userProvider="google-sheets"/>
        <Anchor>
          <Comment id="{6b546b0a-827c-4717-a94c-037ce224efc6}"/>
        </Anchor>
        <Assign userId="sugimoto.n@drjoy.jp" userName="sugimoto.n@drjoy.jp" userProvider="google-sheets"/>
      </Event>
    </History>
  </Task>
  <Task id="{13c862e8-c50b-4072-9322-8782c49b577d}">
    <Anchor>
      <Comment id="{64060740-4cdb-49f5-8da9-84b2ffde4a0a}"/>
    </Anchor>
    <History>
      <Event time="2026-03-09T08:24:15.00" id="{d9b1aa39-ef8b-4764-9637-91e1d0e68696}">
        <Attribution userId="placeholder@email.com" userName="井上卓哉" userProvider="google-sheets"/>
        <Anchor>
          <Comment id="{64060740-4cdb-49f5-8da9-84b2ffde4a0a}"/>
        </Anchor>
        <Create/>
      </Event>
      <Event time="2026-03-09T08:24:15.00" id="{73a7c6de-3a01-4d21-9f9f-f5bbd029bdb8}">
        <Attribution userId="placeholder@email.com" userName="井上卓哉" userProvider="google-sheets"/>
        <Anchor>
          <Comment id="{64060740-4cdb-49f5-8da9-84b2ffde4a0a}"/>
        </Anchor>
        <Assign userId="sugimoto.n@drjoy.jp" userName="sugimoto.n@drjoy.jp" userProvider="google-sheets"/>
      </Event>
    </History>
  </Task>
  <Task id="{1e87e57b-0eed-4e87-9be7-3f38d7c3cab8}">
    <Anchor>
      <Comment id="{c4dba7eb-1502-4818-a1e9-cb8bf46de279}"/>
    </Anchor>
    <History>
      <Event time="2026-01-08T09:55:16.00" id="{467ce974-1a6b-448c-9523-a26437f5952b}">
        <Attribution userId="placeholder@email.com" userName="井上卓哉" userProvider="google-sheets"/>
        <Anchor>
          <Comment id="{040e8ac2-1ec1-4bd7-a676-fb55c8133dc7}"/>
        </Anchor>
        <Create/>
      </Event>
      <Event time="2026-01-08T09:55:16.00" id="{f00cd054-326f-4e4f-b825-7e52e7c628af}">
        <Attribution userId="placeholder@email.com" userName="井上卓哉" userProvider="google-sheets"/>
        <Anchor>
          <Comment id="{040e8ac2-1ec1-4bd7-a676-fb55c8133dc7}"/>
        </Anchor>
        <Assign userId="thanh.pham@drjoy.vn" userName="thanh.pham@drjoy.vn" userProvider="google-sheets"/>
      </Event>
    </History>
  </Task>
  <Task id="{a0f646ce-ce29-4298-9c82-20f658c4e414}">
    <Anchor>
      <Comment id="{17b050d3-50fe-4123-9f78-6c84368f714d}"/>
    </Anchor>
    <History>
      <Event time="2025-10-27T08:19:22.00" id="{017bbe53-7a4c-4bb3-b658-3359e312411b}">
        <Attribution userId="placeholder@email.com" userName="井上卓哉" userProvider="google-sheets"/>
        <Anchor>
          <Comment id="{17b050d3-50fe-4123-9f78-6c84368f714d}"/>
        </Anchor>
        <Create/>
      </Event>
      <Event time="2025-10-27T08:19:22.00" id="{9869f68b-c057-41bd-bb73-6abfbe96dc7b}">
        <Attribution userId="placeholder@email.com" userName="井上卓哉" userProvider="google-sheets"/>
        <Anchor>
          <Comment id="{17b050d3-50fe-4123-9f78-6c84368f714d}"/>
        </Anchor>
        <Assign userId="konishi.j@drjoy.jp" userName="konishi.j@drjoy.jp" userProvider="google-sheets"/>
      </Event>
    </History>
  </Task>
  <Task id="{420e7b7e-3812-4190-93ec-9851cafd9714}">
    <Anchor>
      <Comment id="{1cc7ba62-e46c-48ea-9786-40e35e6f1a72}"/>
    </Anchor>
    <History>
      <Event time="2025-12-05T08:27:18.00" id="{03d0f9b8-ca75-4577-b27f-14fd399b3888}">
        <Attribution userId="placeholder@email.com" userName="井上卓哉" userProvider="google-sheets"/>
        <Anchor>
          <Comment id="{1cc7ba62-e46c-48ea-9786-40e35e6f1a72}"/>
        </Anchor>
        <Create/>
      </Event>
      <Event time="2025-12-05T08:27:18.00" id="{ba2f0578-49c2-49fc-9571-1690780370b8}">
        <Attribution userId="placeholder@email.com" userName="井上卓哉" userProvider="google-sheets"/>
        <Anchor>
          <Comment id="{1cc7ba62-e46c-48ea-9786-40e35e6f1a72}"/>
        </Anchor>
        <Assign userId="okawara.h@drjoy.jp" userName="okawara.h@drjoy.jp" userProvider="google-sheets"/>
      </Event>
    </History>
  </Task>
</Tasks>
</file>

<file path=xl/documenttasks/documenttask4.xml><?xml version="1.0" encoding="utf-8"?>
<Tasks xmlns="http://schemas.microsoft.com/office/tasks/2019/documenttasks">
  <Task id="{671a7147-7817-4e70-ba4f-c520d5e569f4}">
    <Anchor>
      <Comment id="{947edc4a-708f-480b-96d3-1903b48e2259}"/>
    </Anchor>
    <History>
      <Event time="2026-03-03T04:28:00.00" id="{95b8822c-5de8-4133-b0ad-5dba32d22259}">
        <Attribution userId="placeholder@email.com" userName="ハオHao" userProvider="google-sheets"/>
        <Anchor>
          <Comment id="{947edc4a-708f-480b-96d3-1903b48e2259}"/>
        </Anchor>
        <Create/>
      </Event>
      <Event time="2026-03-03T04:28:00.00" id="{32efff73-5db2-472a-8871-4cabfbce0010}">
        <Attribution userId="placeholder@email.com" userName="ハオHao" userProvider="google-sheets"/>
        <Anchor>
          <Comment id="{947edc4a-708f-480b-96d3-1903b48e2259}"/>
        </Anchor>
        <Assign userId="tuan.nguyen4@drjoy.vn" userName="tuan.nguyen4@drjoy.vn" userProvider="google-sheets"/>
      </Event>
    </History>
  </Task>
</Tasks>
</file>

<file path=xl/documenttasks/documenttask5.xml><?xml version="1.0" encoding="utf-8"?>
<Tasks xmlns="http://schemas.microsoft.com/office/tasks/2019/documenttasks">
  <Task id="{b290feb1-e9c1-4cdb-9efc-aed49ddbd643}">
    <Anchor>
      <Comment id="{187f484e-a96b-4157-be0b-089879b904c0}"/>
    </Anchor>
    <History>
      <Event time="2025-10-27T07:03:45.00" id="{f975fad4-3f2d-45c7-a67e-6f2d41282bba}">
        <Attribution userId="placeholder@email.com" userName="ハルThanh" userProvider="google-sheets"/>
        <Anchor>
          <Comment id="{997e885d-ef94-4d21-828b-45ebe2b7a7fe}"/>
        </Anchor>
        <Create/>
      </Event>
      <Event time="2025-10-27T07:03:45.00" id="{76826270-e23c-4299-a3a2-baf72a19227c}">
        <Attribution userId="placeholder@email.com" userName="ハルThanh" userProvider="google-sheets"/>
        <Anchor>
          <Comment id="{997e885d-ef94-4d21-828b-45ebe2b7a7fe}"/>
        </Anchor>
        <Assign userId="inoue.t@drjoy.jp" userName="inoue.t@drjoy.jp" userProvider="google-sheets"/>
      </Event>
    </History>
  </Task>
  <Task id="{591fbd70-facb-4feb-abe0-79bd02d911d1}">
    <Anchor>
      <Comment id="{a72f654f-2cf1-4e0a-b225-aa5312a4a1ce}"/>
    </Anchor>
    <History>
      <Event time="2025-09-11T08:55:14.00" id="{88c86ae0-7acf-484c-b3dc-cf47ed13abf1}">
        <Attribution userId="placeholder@email.com" userName="井上卓哉" userProvider="google-sheets"/>
        <Anchor>
          <Comment id="{a72f654f-2cf1-4e0a-b225-aa5312a4a1ce}"/>
        </Anchor>
        <Create/>
      </Event>
      <Event time="2025-09-11T08:55:14.00" id="{368ec7ba-18b9-4e33-b62a-c0facac1a9d3}">
        <Attribution userId="placeholder@email.com" userName="井上卓哉" userProvider="google-sheets"/>
        <Anchor>
          <Comment id="{a72f654f-2cf1-4e0a-b225-aa5312a4a1ce}"/>
        </Anchor>
        <Assign userId="thanh.pham@drjoy.vn" userName="thanh.pham@drjoy.vn" userProvider="google-sheets"/>
      </Event>
    </History>
  </Task>
  <Task id="{53209f89-bf80-4f94-8d60-fe1981622f9b}">
    <Anchor>
      <Comment id="{3f1576e0-b15d-4b73-a122-dbae63389549}"/>
    </Anchor>
    <History>
      <Event time="2025-09-29T14:29:36.00" id="{51f39762-9e24-4d9c-9483-7ca7e1afee93}">
        <Attribution userId="placeholder@email.com" userName="井上卓哉" userProvider="google-sheets"/>
        <Anchor>
          <Comment id="{d765c731-5c3c-4c61-a8f6-ec19af41bb03}"/>
        </Anchor>
        <Create/>
      </Event>
      <Event time="2025-09-29T14:29:36.00" id="{40df595a-4723-4ac7-9eb2-00275a018bf4}">
        <Attribution userId="placeholder@email.com" userName="井上卓哉" userProvider="google-sheets"/>
        <Anchor>
          <Comment id="{d765c731-5c3c-4c61-a8f6-ec19af41bb03}"/>
        </Anchor>
        <Assign userId="thanh.pham@drjoy.vn" userName="thanh.pham@drjoy.vn" userProvider="google-sheets"/>
      </Event>
    </History>
  </Task>
  <Task id="{084e5505-ca14-4517-8791-e2863fbd40c4}">
    <Anchor>
      <Comment id="{eebf0836-f7a8-4fff-a372-b8b5140c6560}"/>
    </Anchor>
    <History>
      <Event time="2025-10-21T10:48:26.00" id="{29198f27-b71c-4448-927b-02afc9dc9450}">
        <Attribution userId="placeholder@email.com" userName="ハルThanh" userProvider="google-sheets"/>
        <Anchor>
          <Comment id="{eebf0836-f7a8-4fff-a372-b8b5140c6560}"/>
        </Anchor>
        <Create/>
      </Event>
      <Event time="2025-10-21T10:48:26.00" id="{268538ae-6ad0-4f1a-8a3a-5c7669f6c0cc}">
        <Attribution userId="placeholder@email.com" userName="ハルThanh" userProvider="google-sheets"/>
        <Anchor>
          <Comment id="{eebf0836-f7a8-4fff-a372-b8b5140c6560}"/>
        </Anchor>
        <Assign userId="inoue.t@drjoy.jp" userName="inoue.t@drjoy.jp" userProvider="google-sheets"/>
      </Event>
    </History>
  </Task>
  <Task id="{95d38af6-9658-4531-a970-75f25a482bfd}">
    <Anchor>
      <Comment id="{84ecb982-aafc-421a-b62e-ad7aa11b5539}"/>
    </Anchor>
    <History>
      <Event time="2025-09-17T08:27:10.00" id="{7ec2bca4-4404-4683-a3de-ffd6e8e391af}">
        <Attribution userId="placeholder@email.com" userName="井上卓哉" userProvider="google-sheets"/>
        <Anchor>
          <Comment id="{84ecb982-aafc-421a-b62e-ad7aa11b5539}"/>
        </Anchor>
        <Create/>
      </Event>
      <Event time="2025-09-17T08:27:10.00" id="{f85d6827-799c-45f0-8edb-aa6fbb93ab7b}">
        <Attribution userId="placeholder@email.com" userName="井上卓哉" userProvider="google-sheets"/>
        <Anchor>
          <Comment id="{84ecb982-aafc-421a-b62e-ad7aa11b5539}"/>
        </Anchor>
        <Assign userId="thanh.pham@drjoy.vn" userName="thanh.pham@drjoy.vn" userProvider="google-sheets"/>
      </Event>
    </History>
  </Task>
  <Task id="{abf42c0e-9cc9-46ca-8663-d0e032b250ed}">
    <Anchor>
      <Comment id="{a95f4a75-935a-4dee-afa3-e1c24bfc2d15}"/>
    </Anchor>
    <History>
      <Event time="2025-10-27T07:06:36.00" id="{d96ef1b6-115c-44f2-8114-8bb74d8d72c3}">
        <Attribution userId="placeholder@email.com" userName="ハルThanh" userProvider="google-sheets"/>
        <Anchor>
          <Comment id="{3815b380-3b6e-4eea-95be-134f4c587b7e}"/>
        </Anchor>
        <Create/>
      </Event>
      <Event time="2025-10-27T07:06:36.00" id="{16f0d886-7d90-4aba-8998-f394dfdcf0ee}">
        <Attribution userId="placeholder@email.com" userName="ハルThanh" userProvider="google-sheets"/>
        <Anchor>
          <Comment id="{3815b380-3b6e-4eea-95be-134f4c587b7e}"/>
        </Anchor>
        <Assign userId="inoue.t@drjoy.jp" userName="inoue.t@drjoy.jp" userProvider="google-sheets"/>
      </Event>
    </History>
  </Task>
  <Task id="{0624f0fd-2aeb-4e96-82f7-791b126e9c52}">
    <Anchor>
      <Comment id="{838afa6f-7423-4516-9bcd-7e2c38acde31}"/>
    </Anchor>
    <History>
      <Event time="2025-10-03T09:55:40.00" id="{b8562340-afef-47c5-af1f-88ad01e4df94}">
        <Attribution userId="placeholder@email.com" userName="ハルThanh" userProvider="google-sheets"/>
        <Anchor>
          <Comment id="{838afa6f-7423-4516-9bcd-7e2c38acde31}"/>
        </Anchor>
        <Create/>
      </Event>
      <Event time="2025-10-03T09:55:40.00" id="{7b79a182-810d-47af-9a13-eebf5eeaca8e}">
        <Attribution userId="placeholder@email.com" userName="ハルThanh" userProvider="google-sheets"/>
        <Anchor>
          <Comment id="{838afa6f-7423-4516-9bcd-7e2c38acde31}"/>
        </Anchor>
        <Assign userId="inoue.t@drjoy.jp" userName="inoue.t@drjoy.jp" userProvider="google-sheets"/>
      </Event>
    </History>
  </Task>
  <Task id="{13f3f026-e85a-4cfb-8a44-d223d367cbc9}">
    <Anchor>
      <Comment id="{5ed039c2-cb99-4690-90d6-f5221f1b0ce2}"/>
    </Anchor>
    <History>
      <Event time="2025-10-21T10:28:42.00" id="{d443f9ef-07d2-4fe0-8b62-5917a2b5f8db}">
        <Attribution userId="placeholder@email.com" userName="井上卓哉" userProvider="google-sheets"/>
        <Anchor>
          <Comment id="{5ed039c2-cb99-4690-90d6-f5221f1b0ce2}"/>
        </Anchor>
        <Create/>
      </Event>
      <Event time="2025-10-21T10:28:42.00" id="{92e48e74-ac5c-411f-bd0b-03e88a5e2095}">
        <Attribution userId="placeholder@email.com" userName="井上卓哉" userProvider="google-sheets"/>
        <Anchor>
          <Comment id="{5ed039c2-cb99-4690-90d6-f5221f1b0ce2}"/>
        </Anchor>
        <Assign userId="thanh.pham@drjoy.vn" userName="thanh.pham@drjoy.vn" userProvider="google-sheets"/>
      </Event>
    </History>
  </Task>
  <Task id="{c6f878ba-b2da-4e56-ba0f-91a2fc342eb1}">
    <Anchor>
      <Comment id="{ee73d46b-ec99-4099-a859-0667755e3e6a}"/>
    </Anchor>
    <History>
      <Event time="2025-10-06T08:30:31.00" id="{cd30b1d3-4689-40ac-90f8-d1d705f758ad}">
        <Attribution userId="placeholder@email.com" userName="井上卓哉" userProvider="google-sheets"/>
        <Anchor>
          <Comment id="{f4c29e2f-b364-4e46-ab63-0be1718b887a}"/>
        </Anchor>
        <Create/>
      </Event>
      <Event time="2025-10-06T08:30:31.00" id="{65f05dde-f8b3-450b-9f1e-c46908281f16}">
        <Attribution userId="placeholder@email.com" userName="井上卓哉" userProvider="google-sheets"/>
        <Anchor>
          <Comment id="{f4c29e2f-b364-4e46-ab63-0be1718b887a}"/>
        </Anchor>
        <Assign userId="thanh.pham@drjoy.vn" userName="thanh.pham@drjoy.vn" userProvider="google-sheets"/>
      </Event>
    </History>
  </Task>
</Tasks>
</file>

<file path=xl/documenttasks/documenttask6.xml><?xml version="1.0" encoding="utf-8"?>
<Tasks xmlns="http://schemas.microsoft.com/office/tasks/2019/documenttask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54</xdr:row>
      <xdr:rowOff>0</xdr:rowOff>
    </xdr:from>
    <xdr:ext cx="4486275" cy="18859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24</xdr:row>
      <xdr:rowOff>0</xdr:rowOff>
    </xdr:from>
    <xdr:ext cx="514350" cy="1905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30</xdr:row>
      <xdr:rowOff>0</xdr:rowOff>
    </xdr:from>
    <xdr:ext cx="428625" cy="200025"/>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32</xdr:row>
      <xdr:rowOff>0</xdr:rowOff>
    </xdr:from>
    <xdr:ext cx="2800350" cy="2876550"/>
    <xdr:pic>
      <xdr:nvPicPr>
        <xdr:cNvPr id="0" name="image4.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32</xdr:row>
      <xdr:rowOff>0</xdr:rowOff>
    </xdr:from>
    <xdr:ext cx="3962400" cy="1876425"/>
    <xdr:pic>
      <xdr:nvPicPr>
        <xdr:cNvPr id="0" name="image2.png" title="画像"/>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762000</xdr:colOff>
      <xdr:row>23</xdr:row>
      <xdr:rowOff>104775</xdr:rowOff>
    </xdr:from>
    <xdr:ext cx="10782300" cy="6286500"/>
    <xdr:sp>
      <xdr:nvSpPr>
        <xdr:cNvPr id="3" name="Shape 3"/>
        <xdr:cNvSpPr/>
      </xdr:nvSpPr>
      <xdr:spPr>
        <a:xfrm>
          <a:off x="49775" y="146425"/>
          <a:ext cx="10766100" cy="6269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900"/>
            <a:t>営業時間ガイダンス.prompt={tts_g:お電話ありがとうございます。ドクタージョイ病院の予約専用、AI電話です。}</a:t>
          </a:r>
          <a:endParaRPr sz="900"/>
        </a:p>
        <a:p>
          <a:pPr indent="0" lvl="0" marL="0" rtl="0" algn="l">
            <a:spcBef>
              <a:spcPts val="0"/>
            </a:spcBef>
            <a:spcAft>
              <a:spcPts val="0"/>
            </a:spcAft>
            <a:buNone/>
          </a:pPr>
          <a:r>
            <a:rPr lang="en-US" sz="900"/>
            <a:t>営業時間外ガイダンス.prompt={tts_g: こちらは予約専用、AI電話です。本日の診療予約に関するお問い合わせはAI電話では受付できませんので、恐れ入りますが、代表電話へおかけなおしください。}</a:t>
          </a:r>
          <a:endParaRPr sz="900"/>
        </a:p>
        <a:p>
          <a:pPr indent="0" lvl="0" marL="0" rtl="0" algn="l">
            <a:spcBef>
              <a:spcPts val="0"/>
            </a:spcBef>
            <a:spcAft>
              <a:spcPts val="0"/>
            </a:spcAft>
            <a:buNone/>
          </a:pPr>
          <a:r>
            <a:rPr lang="en-US" sz="900"/>
            <a:t>1区分確認ガイダンス.prompt={tts_g:ご用件をお話しください。}</a:t>
          </a:r>
          <a:endParaRPr sz="900"/>
        </a:p>
        <a:p>
          <a:pPr indent="0" lvl="0" marL="0" rtl="0" algn="l">
            <a:spcBef>
              <a:spcPts val="0"/>
            </a:spcBef>
            <a:spcAft>
              <a:spcPts val="0"/>
            </a:spcAft>
            <a:buNone/>
          </a:pPr>
          <a:r>
            <a:rPr lang="en-US" sz="900"/>
            <a:t>区分リトライ.prompt_true={tts_g:申し訳ございません。うまく聞き取りができませんでした。再度、お伺いします。}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紹介状有無確認ガイダンス.prompt={tts_g:紹介状をお持ちでしょうか。}</a:t>
          </a:r>
          <a:endParaRPr sz="900"/>
        </a:p>
        <a:p>
          <a:pPr indent="0" lvl="0" marL="0" rtl="0" algn="l">
            <a:spcBef>
              <a:spcPts val="0"/>
            </a:spcBef>
            <a:spcAft>
              <a:spcPts val="0"/>
            </a:spcAft>
            <a:buNone/>
          </a:pPr>
          <a:r>
            <a:rPr lang="en-US" sz="900"/>
            <a:t>紹介状有無リトライ.prompt_true={tts_g:申し訳ございません。うまく聞き取りができませんでした。再度、お伺いします。}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施設名確認ガイダンス.prompt={tts_g:紹介状に記載されている施設名を教えてください。}</a:t>
          </a:r>
          <a:endParaRPr sz="900"/>
        </a:p>
        <a:p>
          <a:pPr indent="0" lvl="0" marL="0" rtl="0" algn="l">
            <a:spcBef>
              <a:spcPts val="0"/>
            </a:spcBef>
            <a:spcAft>
              <a:spcPts val="0"/>
            </a:spcAft>
            <a:buNone/>
          </a:pPr>
          <a:r>
            <a:rPr lang="en-US" sz="900"/>
            <a:t>診察券番号確認ガイダンス.prompt={tts_g:診察券番号を教えていただけますか？}</a:t>
          </a:r>
          <a:endParaRPr sz="900"/>
        </a:p>
        <a:p>
          <a:pPr indent="0" lvl="0" marL="0" rtl="0" algn="l">
            <a:spcBef>
              <a:spcPts val="0"/>
            </a:spcBef>
            <a:spcAft>
              <a:spcPts val="0"/>
            </a:spcAft>
            <a:buNone/>
          </a:pPr>
          <a:r>
            <a:rPr lang="en-US" sz="900"/>
            <a:t>診察券番号リトライ.prompt_true={tts_g:申し訳ございません。うまく聞き取りができませんでした。再度、お伺いします。}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guidance_re-check_medical_card_number={tts_g:診察券番号は、#medical_card_number#、でよろしいですか？}</a:t>
          </a:r>
          <a:endParaRPr sz="900"/>
        </a:p>
        <a:p>
          <a:pPr indent="0" lvl="0" marL="0" rtl="0" algn="l">
            <a:spcBef>
              <a:spcPts val="0"/>
            </a:spcBef>
            <a:spcAft>
              <a:spcPts val="0"/>
            </a:spcAft>
            <a:buNone/>
          </a:pPr>
          <a:r>
            <a:rPr lang="en-US" sz="900"/>
            <a:t>診察券番号再確認リトライ.prompt_true={tts_g:申し訳ございません。うまく聞き取りができませんでした。再度、お伺いします。}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現在予約日確認ガイダンス.prompt={tts_g:次に、変更されたい予約の現在の予約日をお話しください。}</a:t>
          </a:r>
          <a:endParaRPr sz="900"/>
        </a:p>
        <a:p>
          <a:pPr indent="0" lvl="0" marL="0" rtl="0" algn="l">
            <a:spcBef>
              <a:spcPts val="0"/>
            </a:spcBef>
            <a:spcAft>
              <a:spcPts val="0"/>
            </a:spcAft>
            <a:buNone/>
          </a:pPr>
          <a:r>
            <a:rPr lang="en-US" sz="900"/>
            <a:t>現在予約日リトライ.prompt_true={tts_g:申し訳ございません。うまく聞き取りができませんでした。再度、お伺いします。}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guidance_re-check_current_reservation_date={tts_g:現在の予約日は、#current_reservation_date#、ですね。}</a:t>
          </a:r>
          <a:endParaRPr sz="900"/>
        </a:p>
        <a:p>
          <a:pPr indent="0" lvl="0" marL="0" rtl="0" algn="l">
            <a:spcBef>
              <a:spcPts val="0"/>
            </a:spcBef>
            <a:spcAft>
              <a:spcPts val="0"/>
            </a:spcAft>
            <a:buNone/>
          </a:pPr>
          <a:r>
            <a:rPr lang="en-US" sz="900"/>
            <a:t>予約希望日確認ガイダンス.prompt={tts_g:次に、予約のご希望日をお伺いいたします。ご都合の良い日付や曜日をお話しください。}</a:t>
          </a:r>
          <a:endParaRPr sz="900"/>
        </a:p>
        <a:p>
          <a:pPr indent="0" lvl="0" marL="0" rtl="0" algn="l">
            <a:spcBef>
              <a:spcPts val="0"/>
            </a:spcBef>
            <a:spcAft>
              <a:spcPts val="0"/>
            </a:spcAft>
            <a:buNone/>
          </a:pPr>
          <a:r>
            <a:rPr lang="en-US" sz="900"/>
            <a:t>予約希望日リトライ.prompt_true={tts_g:申し訳ございません。うまく聞き取りができませんでした。再度、お伺いします。}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guidance_re-check_desired_reservation_date={tts_g:ご希望の予約日は、#desired_reservation_date#、ですね。}</a:t>
          </a:r>
          <a:endParaRPr sz="900"/>
        </a:p>
        <a:p>
          <a:pPr indent="0" lvl="0" marL="0" rtl="0" algn="l">
            <a:spcBef>
              <a:spcPts val="0"/>
            </a:spcBef>
            <a:spcAft>
              <a:spcPts val="0"/>
            </a:spcAft>
            <a:buNone/>
          </a:pPr>
          <a:r>
            <a:rPr lang="en-US" sz="900"/>
            <a:t>理由確認ガイダンス.prompt={tts_g:次に予約変更の理由をお話しください。}</a:t>
          </a:r>
          <a:endParaRPr sz="900"/>
        </a:p>
        <a:p>
          <a:pPr indent="0" lvl="0" marL="0" rtl="0" algn="l">
            <a:spcBef>
              <a:spcPts val="0"/>
            </a:spcBef>
            <a:spcAft>
              <a:spcPts val="0"/>
            </a:spcAft>
            <a:buNone/>
          </a:pPr>
          <a:r>
            <a:rPr lang="en-US" sz="900"/>
            <a:t>理由リトライ.prompt_true={tts_g:申し訳ございません。うまく聞き取りができませんでした。再度、お伺いします。}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名前確認ガイダンス.prompt={tts_g:初めに、受診されるお名前をフルネームでお答えください。}</a:t>
          </a:r>
          <a:endParaRPr sz="900"/>
        </a:p>
        <a:p>
          <a:pPr indent="0" lvl="0" marL="0" rtl="0" algn="l">
            <a:spcBef>
              <a:spcPts val="0"/>
            </a:spcBef>
            <a:spcAft>
              <a:spcPts val="0"/>
            </a:spcAft>
            <a:buNone/>
          </a:pPr>
          <a:r>
            <a:rPr lang="en-US" sz="900"/>
            <a:t>名前リトライ.prompt_true={tts_g:申し訳ございません。うまく聞き取りができませんでした。再度、お伺いします。}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生年月日確認ガイダンス.prompt={tts_g:次に、生年月日をお話しください。}</a:t>
          </a:r>
          <a:endParaRPr sz="900"/>
        </a:p>
        <a:p>
          <a:pPr indent="0" lvl="0" marL="0" rtl="0" algn="l">
            <a:spcBef>
              <a:spcPts val="0"/>
            </a:spcBef>
            <a:spcAft>
              <a:spcPts val="0"/>
            </a:spcAft>
            <a:buNone/>
          </a:pPr>
          <a:r>
            <a:rPr lang="en-US" sz="900"/>
            <a:t>生年月日確リトライ.prompt_true={tts_g:申し訳ございません。うまく聞き取りができませんでした。再度、お伺いします。}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guidance_re-check_date_of_birth={tts_g:生年月日は、#date_of_birth#、ですね。}</a:t>
          </a:r>
          <a:endParaRPr sz="900"/>
        </a:p>
        <a:p>
          <a:pPr indent="0" lvl="0" marL="0" rtl="0" algn="l">
            <a:spcBef>
              <a:spcPts val="0"/>
            </a:spcBef>
            <a:spcAft>
              <a:spcPts val="0"/>
            </a:spcAft>
            <a:buNone/>
          </a:pPr>
          <a:r>
            <a:rPr lang="en-US" sz="900"/>
            <a:t>診療科確認ガイダンス.prompt={tts_g:受診される診療科をお話しください。わからない場合はわからないとお話しください。}</a:t>
          </a:r>
          <a:endParaRPr sz="900"/>
        </a:p>
        <a:p>
          <a:pPr indent="0" lvl="0" marL="0" rtl="0" algn="l">
            <a:spcBef>
              <a:spcPts val="0"/>
            </a:spcBef>
            <a:spcAft>
              <a:spcPts val="0"/>
            </a:spcAft>
            <a:buNone/>
          </a:pPr>
          <a:r>
            <a:rPr lang="en-US" sz="900"/>
            <a:t>診療科確認リトライ.prompt_true={tts_g:申し訳ございません。うまく聞き取りができませんでした。再度、お伺いします。}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guidance_re-check_clinical_department={tts_g:診療科は、#clinical_department#、で承りました。}</a:t>
          </a:r>
          <a:endParaRPr sz="900"/>
        </a:p>
        <a:p>
          <a:pPr indent="0" lvl="0" marL="0" rtl="0" algn="l">
            <a:spcBef>
              <a:spcPts val="0"/>
            </a:spcBef>
            <a:spcAft>
              <a:spcPts val="0"/>
            </a:spcAft>
            <a:buNone/>
          </a:pPr>
          <a:r>
            <a:rPr lang="en-US" sz="900"/>
            <a:t>キャンセル理由確認.prompt={tts_g:次に予約キャンセルの理由をお話しください。}</a:t>
          </a:r>
          <a:endParaRPr sz="900"/>
        </a:p>
        <a:p>
          <a:pPr indent="0" lvl="0" marL="0" rtl="0" algn="l">
            <a:spcBef>
              <a:spcPts val="0"/>
            </a:spcBef>
            <a:spcAft>
              <a:spcPts val="0"/>
            </a:spcAft>
            <a:buNone/>
          </a:pPr>
          <a:r>
            <a:rPr lang="en-US" sz="900"/>
            <a:t>問い合わせガイダンス.prompt={tts_g:次に確認したい内容をお話しください。}</a:t>
          </a:r>
          <a:endParaRPr sz="900"/>
        </a:p>
        <a:p>
          <a:pPr indent="0" lvl="0" marL="0" rtl="0" algn="l">
            <a:spcBef>
              <a:spcPts val="0"/>
            </a:spcBef>
            <a:spcAft>
              <a:spcPts val="0"/>
            </a:spcAft>
            <a:buNone/>
          </a:pPr>
          <a:r>
            <a:rPr lang="en-US" sz="900"/>
            <a:t>問い合わせリトライ.prompt_true={tts_g:申し訳ございません。うまく聞き取りができませんでした。再度、お伺いします。}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guidance_before_check_tel_number={"tts_g": "「#recipient_name#」様、ありがとうございます。"}</a:t>
          </a:r>
          <a:endParaRPr sz="900"/>
        </a:p>
        <a:p>
          <a:pPr indent="0" lvl="0" marL="0" rtl="0" algn="l">
            <a:spcBef>
              <a:spcPts val="0"/>
            </a:spcBef>
            <a:spcAft>
              <a:spcPts val="0"/>
            </a:spcAft>
            <a:buNone/>
          </a:pPr>
          <a:r>
            <a:rPr lang="en-US" sz="900"/>
            <a:t>電話番号確認ガイダンス.prompt={tts_g:つづいて、日中、連絡のとれるご連絡先の電話番号を、0から始まる市外局番から、または携帯番号でお話しください。}</a:t>
          </a:r>
          <a:endParaRPr sz="900"/>
        </a:p>
        <a:p>
          <a:pPr indent="0" lvl="0" marL="0" rtl="0" algn="l">
            <a:spcBef>
              <a:spcPts val="0"/>
            </a:spcBef>
            <a:spcAft>
              <a:spcPts val="0"/>
            </a:spcAft>
            <a:buNone/>
          </a:pPr>
          <a:r>
            <a:rPr lang="en-US" sz="900"/>
            <a:t>guidance_re-check_tel_number={tts_g:ご連絡先の電話番号は、#tel_number#、でよろしいですか？}</a:t>
          </a:r>
          <a:endParaRPr sz="900"/>
        </a:p>
        <a:p>
          <a:pPr indent="0" lvl="0" marL="0" rtl="0" algn="l">
            <a:spcBef>
              <a:spcPts val="0"/>
            </a:spcBef>
            <a:spcAft>
              <a:spcPts val="0"/>
            </a:spcAft>
            <a:buNone/>
          </a:pPr>
          <a:r>
            <a:rPr lang="en-US" sz="900"/>
            <a:t>電話番号確認リトライ.prompt_true={tts_g:申し訳ございません。正しい桁数で聞き取れませんでした。再度お伺いいたします。}</a:t>
          </a:r>
          <a:endParaRPr sz="900"/>
        </a:p>
        <a:p>
          <a:pPr indent="0" lvl="0" marL="0" rtl="0" algn="l">
            <a:spcBef>
              <a:spcPts val="0"/>
            </a:spcBef>
            <a:spcAft>
              <a:spcPts val="0"/>
            </a:spcAft>
            <a:buNone/>
          </a:pPr>
          <a:r>
            <a:rPr lang="en-US" sz="900"/>
            <a:t>音声認識失敗ガイダンス.prompt={tts_g:大変申し訳ございません。うまく聞き取ることができませんでした。恐れ入りますが、代表電話番号の音声ガイダンス1番におかけなおしください。お電話での予約受付時間は祝日を除く月曜日から土曜日の9時から16時半です。代表番号を申し上げますのでメモをご準備ください。}</a:t>
          </a:r>
          <a:endParaRPr sz="900"/>
        </a:p>
        <a:p>
          <a:pPr indent="0" lvl="0" marL="0" rtl="0" algn="l">
            <a:spcBef>
              <a:spcPts val="0"/>
            </a:spcBef>
            <a:spcAft>
              <a:spcPts val="0"/>
            </a:spcAft>
            <a:buNone/>
          </a:pPr>
          <a:r>
            <a:rPr lang="en-US" sz="900"/>
            <a:t>電話番号再確認リトライ.prompt_true={tts_g:申し訳ございませんが、「はい」、または「いいえ」のいずれかでお答えください。再度、お伺いいたします。}</a:t>
          </a:r>
          <a:endParaRPr sz="900"/>
        </a:p>
        <a:p>
          <a:pPr indent="0" lvl="0" marL="0" rtl="0" algn="l">
            <a:spcBef>
              <a:spcPts val="0"/>
            </a:spcBef>
            <a:spcAft>
              <a:spcPts val="0"/>
            </a:spcAft>
            <a:buNone/>
          </a:pPr>
          <a:r>
            <a:rPr lang="en-US" sz="900"/>
            <a:t>早急対応確認ガイダンス.prompt={tts_g:早急な対応が必要ですか？「はい」、または「いいえ」のいずれかでお答えください。}</a:t>
          </a:r>
          <a:endParaRPr sz="900"/>
        </a:p>
        <a:p>
          <a:pPr indent="0" lvl="0" marL="0" rtl="0" algn="l">
            <a:spcBef>
              <a:spcPts val="0"/>
            </a:spcBef>
            <a:spcAft>
              <a:spcPts val="0"/>
            </a:spcAft>
            <a:buNone/>
          </a:pPr>
          <a:r>
            <a:rPr lang="en-US" sz="900"/>
            <a:t>取り次ぎガイダンス.prompt={tts_g:担当者へお繋ぎいたします。そのままお待ちください。}</a:t>
          </a:r>
          <a:endParaRPr sz="900"/>
        </a:p>
        <a:p>
          <a:pPr indent="0" lvl="0" marL="0" rtl="0" algn="l">
            <a:spcBef>
              <a:spcPts val="0"/>
            </a:spcBef>
            <a:spcAft>
              <a:spcPts val="0"/>
            </a:spcAft>
            <a:buNone/>
          </a:pPr>
          <a:r>
            <a:rPr lang="en-US" sz="900"/>
            <a:t>早急対応確認リトライ.prompt_true={tts_g:申し訳ございません。うまく聞き取りができませんでした。再度、お伺いします。}</a:t>
          </a:r>
          <a:endParaRPr sz="900"/>
        </a:p>
        <a:p>
          <a:pPr indent="0" lvl="0" marL="0" rtl="0" algn="l">
            <a:spcBef>
              <a:spcPts val="0"/>
            </a:spcBef>
            <a:spcAft>
              <a:spcPts val="0"/>
            </a:spcAft>
            <a:buNone/>
          </a:pPr>
          <a:r>
            <a:rPr lang="en-US" sz="900"/>
            <a:t>終了前のガイダンス.prompt={tts_g:予約変更の申し込みを受付いたしました。3診療日以内に担当者から折り返し電話、もしくは、SMSにてご連絡いたします。お電話ありがとうございました。それでは失礼いたします。}</a:t>
          </a:r>
          <a:endParaRPr sz="900"/>
        </a:p>
        <a:p>
          <a:pPr indent="0" lvl="0" marL="0" rtl="0" algn="l">
            <a:spcBef>
              <a:spcPts val="0"/>
            </a:spcBef>
            <a:spcAft>
              <a:spcPts val="0"/>
            </a:spcAft>
            <a:buNone/>
          </a:pPr>
          <a:r>
            <a:rPr lang="en-US" sz="900"/>
            <a:t># wait</a:t>
          </a:r>
          <a:endParaRPr sz="900"/>
        </a:p>
        <a:p>
          <a:pPr indent="0" lvl="0" marL="0" rtl="0" algn="l">
            <a:spcBef>
              <a:spcPts val="0"/>
            </a:spcBef>
            <a:spcAft>
              <a:spcPts val="0"/>
            </a:spcAft>
            <a:buNone/>
          </a:pPr>
          <a:r>
            <a:rPr lang="en-US" sz="900"/>
            <a:t>冒頭待ち.wait=2000</a:t>
          </a:r>
          <a:endParaRPr sz="900"/>
        </a:p>
      </xdr:txBody>
    </xdr:sp>
    <xdr:clientData fLocksWithSheet="0"/>
  </xdr:oneCellAnchor>
  <xdr:oneCellAnchor>
    <xdr:from>
      <xdr:col>0</xdr:col>
      <xdr:colOff>95250</xdr:colOff>
      <xdr:row>7</xdr:row>
      <xdr:rowOff>133350</xdr:rowOff>
    </xdr:from>
    <xdr:ext cx="7219950" cy="6143625"/>
    <xdr:sp>
      <xdr:nvSpPr>
        <xdr:cNvPr id="4" name="Shape 4"/>
        <xdr:cNvSpPr/>
      </xdr:nvSpPr>
      <xdr:spPr>
        <a:xfrm>
          <a:off x="207975" y="315550"/>
          <a:ext cx="7204500" cy="6120000"/>
        </a:xfrm>
        <a:prstGeom prst="rect">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latin typeface="Meiryo"/>
              <a:ea typeface="Meiryo"/>
              <a:cs typeface="Meiryo"/>
              <a:sym typeface="Meiryo"/>
            </a:rPr>
            <a:t>【本番用！！】</a:t>
          </a:r>
          <a:endParaRPr sz="12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 wait</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冒頭.wait=2000</a:t>
          </a:r>
          <a:endParaRPr sz="9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 転送</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転送.number=1002				</a:t>
          </a:r>
          <a:r>
            <a:rPr lang="en-US" sz="900">
              <a:latin typeface="Meiryo"/>
              <a:ea typeface="Meiryo"/>
              <a:cs typeface="Meiryo"/>
              <a:sym typeface="Meiryo"/>
            </a:rPr>
            <a:t>	</a:t>
          </a:r>
          <a:r>
            <a:rPr b="1" lang="en-US" sz="900">
              <a:solidFill>
                <a:srgbClr val="FF0000"/>
              </a:solidFill>
              <a:latin typeface="Meiryo"/>
              <a:ea typeface="Meiryo"/>
              <a:cs typeface="Meiryo"/>
              <a:sym typeface="Meiryo"/>
            </a:rPr>
            <a:t>///転送をモジュールの名前に変える</a:t>
          </a:r>
          <a:endParaRPr sz="900">
            <a:solidFill>
              <a:srgbClr val="FF0000"/>
            </a:solidFill>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 amivoice</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amivoice.uri=ws://speech.internal.assistant.com:8000/ws</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amivoice.language=ja</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amivoice.engine=入力汎用</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amivoice.keep_filter_token=true</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amivoice.silent_detection_ms=2000</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amivoice.timeout_ms=30000</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amivoice.probability=0.6</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amivoice.detection_flag=音声開始前から検出</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amivoice.save_log=false</a:t>
          </a:r>
          <a:endParaRPr sz="9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#RAG</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amivoice.uri=ws://speech.internal.assistant.com:8000/ws</a:t>
          </a:r>
          <a:r>
            <a:rPr lang="en-US" sz="900">
              <a:latin typeface="Meiryo"/>
              <a:ea typeface="Meiryo"/>
              <a:cs typeface="Meiryo"/>
              <a:sym typeface="Meiryo"/>
            </a:rPr>
            <a:t>	</a:t>
          </a:r>
          <a:r>
            <a:rPr b="1" lang="en-US" sz="900">
              <a:solidFill>
                <a:srgbClr val="00FF00"/>
              </a:solidFill>
              <a:latin typeface="Meiryo"/>
              <a:ea typeface="Meiryo"/>
              <a:cs typeface="Meiryo"/>
              <a:sym typeface="Meiryo"/>
            </a:rPr>
            <a:t>///speechをモジュールの名前に変える</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speech.rag.connect_timeout=2			</a:t>
          </a:r>
          <a:r>
            <a:rPr lang="en-US" sz="900">
              <a:latin typeface="Meiryo"/>
              <a:ea typeface="Meiryo"/>
              <a:cs typeface="Meiryo"/>
              <a:sym typeface="Meiryo"/>
            </a:rPr>
            <a:t>	　　　　</a:t>
          </a:r>
          <a:r>
            <a:rPr b="1" lang="en-US" sz="900">
              <a:solidFill>
                <a:srgbClr val="00FF00"/>
              </a:solidFill>
              <a:latin typeface="Meiryo"/>
              <a:ea typeface="Meiryo"/>
              <a:cs typeface="Meiryo"/>
              <a:sym typeface="Meiryo"/>
            </a:rPr>
            <a:t>///speechをモジュールの名前に変える</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speech.rag.request_timeout=3			</a:t>
          </a:r>
          <a:r>
            <a:rPr lang="en-US" sz="900">
              <a:latin typeface="Meiryo"/>
              <a:ea typeface="Meiryo"/>
              <a:cs typeface="Meiryo"/>
              <a:sym typeface="Meiryo"/>
            </a:rPr>
            <a:t>	　　　　</a:t>
          </a:r>
          <a:r>
            <a:rPr b="1" lang="en-US" sz="900">
              <a:solidFill>
                <a:srgbClr val="00FF00"/>
              </a:solidFill>
              <a:latin typeface="Meiryo"/>
              <a:ea typeface="Meiryo"/>
              <a:cs typeface="Meiryo"/>
              <a:sym typeface="Meiryo"/>
            </a:rPr>
            <a:t>///speechをモジュールの名前に変える</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speech.rag.credibility=0				</a:t>
          </a:r>
          <a:r>
            <a:rPr lang="en-US" sz="900">
              <a:latin typeface="Meiryo"/>
              <a:ea typeface="Meiryo"/>
              <a:cs typeface="Meiryo"/>
              <a:sym typeface="Meiryo"/>
            </a:rPr>
            <a:t>	　　　　</a:t>
          </a:r>
          <a:r>
            <a:rPr b="1" lang="en-US" sz="900">
              <a:solidFill>
                <a:srgbClr val="00FF00"/>
              </a:solidFill>
              <a:latin typeface="Meiryo"/>
              <a:ea typeface="Meiryo"/>
              <a:cs typeface="Meiryo"/>
              <a:sym typeface="Meiryo"/>
            </a:rPr>
            <a:t>///speechをモジュールの名前に変える</a:t>
          </a:r>
          <a:endParaRPr sz="9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 Save2DB</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office_id=5dc905d0f252a10026686aac　		　　　　　</a:t>
          </a:r>
          <a:r>
            <a:rPr b="1" lang="en-US" sz="900">
              <a:solidFill>
                <a:srgbClr val="FF0000"/>
              </a:solidFill>
              <a:latin typeface="Meiryo"/>
              <a:ea typeface="Meiryo"/>
              <a:cs typeface="Meiryo"/>
              <a:sym typeface="Meiryo"/>
            </a:rPr>
            <a:t>///officeIDを修正する</a:t>
          </a:r>
          <a:endParaRPr b="1" sz="900">
            <a:solidFill>
              <a:srgbClr val="FF0000"/>
            </a:solidFill>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pbx.db.name=save.db</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context.settings.url=https://reserve.drjoy.jp/api/anonymous/dr/ha/pbx/context-model	</a:t>
          </a:r>
          <a:r>
            <a:rPr b="1" lang="en-US" sz="900">
              <a:solidFill>
                <a:srgbClr val="00FF00"/>
              </a:solidFill>
              <a:latin typeface="Meiryo"/>
              <a:ea typeface="Meiryo"/>
              <a:cs typeface="Meiryo"/>
              <a:sym typeface="Meiryo"/>
            </a:rPr>
            <a:t>///これは本番環境</a:t>
          </a:r>
          <a:endParaRPr sz="9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 OpenAI SSML</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rag_ssml.url= https://reserve.drjoy.jp/api/anonymous/dr/ha/rag-ssml/process-text</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openAI_generate.url=https://reserve.drjoy.jp/api/anonymous/dr/ha/openai/generate-text</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acceptance_times.url=https://reserve.drjoy.jp/api/anonymous/dr/ha/incoming-call-by-brekeke</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drjoy.save.url=https://reserve.drjoy.jp/api/anonymous/dr/ha/brekeke-booking-ai</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get-intonation-from-drjoy.url=https://reserve.drjoy.jp/api/anonymous/dr/ha/brekeke-replace-intonation</a:t>
          </a:r>
          <a:endParaRPr sz="900">
            <a:latin typeface="Meiryo"/>
            <a:ea typeface="Meiryo"/>
            <a:cs typeface="Meiryo"/>
            <a:sym typeface="Meiryo"/>
          </a:endParaRPr>
        </a:p>
        <a:p>
          <a:pPr indent="0" lvl="0" marL="0" rtl="0" algn="l">
            <a:spcBef>
              <a:spcPts val="0"/>
            </a:spcBef>
            <a:spcAft>
              <a:spcPts val="0"/>
            </a:spcAft>
            <a:buNone/>
          </a:pPr>
          <a:r>
            <a:rPr lang="en-US" sz="900">
              <a:latin typeface="Meiryo"/>
              <a:ea typeface="Meiryo"/>
              <a:cs typeface="Meiryo"/>
              <a:sym typeface="Meiryo"/>
            </a:rPr>
            <a:t>phone_2_name.url=https://reserve.drjoy.jp/api/anonymous/dr/ha/phone-to-name</a:t>
          </a:r>
          <a:endParaRPr sz="9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a:p>
          <a:pPr indent="0" lvl="0" marL="0" rtl="0" algn="l">
            <a:spcBef>
              <a:spcPts val="0"/>
            </a:spcBef>
            <a:spcAft>
              <a:spcPts val="0"/>
            </a:spcAft>
            <a:buNone/>
          </a:pPr>
          <a:r>
            <a:t/>
          </a:r>
          <a:endParaRPr sz="900">
            <a:latin typeface="Meiryo"/>
            <a:ea typeface="Meiryo"/>
            <a:cs typeface="Meiryo"/>
            <a:sym typeface="Meiryo"/>
          </a:endParaRPr>
        </a:p>
      </xdr:txBody>
    </xdr:sp>
    <xdr:clientData fLocksWithSheet="0"/>
  </xdr:oneCellAnchor>
</xdr:wsDr>
</file>

<file path=xl/persons/person.xml><?xml version="1.0" encoding="utf-8"?>
<x18tc:personList xmlns:x18tc="http://schemas.microsoft.com/office/spreadsheetml/2018/threadedcomments">
  <x18tc:person displayName="konishi.j@drjoy.jp" id="{3f0d6f8f-14ee-4d43-a7a8-b200168d7277}" userId="konishi.j@drjoy.jp" providerId="google-sheets"/>
  <x18tc:person displayName="井上卓哉" id="{d273fb70-b56e-4105-b0b8-089baae0bdbe}" providerId="google-sheets"/>
  <x18tc:person displayName="thanh.pham@drjoy.vn" id="{53457860-d2fc-46bd-9d58-7d29f5139ceb}" userId="thanh.pham@drjoy.vn" providerId="google-sheets"/>
  <x18tc:person displayName="tuan.nguyen4@drjoy.vn" id="{ff14f1e9-44e2-4076-b1e4-5f2814782507}" userId="tuan.nguyen4@drjoy.vn" providerId="google-sheets"/>
  <x18tc:person displayName="okawara.h@drjoy.jp" id="{bf2b4968-792d-4549-8a5d-4b4bd1719a30}" userId="okawara.h@drjoy.jp" providerId="google-sheets"/>
  <x18tc:person displayName="トシTuan" id="{a859858d-3a90-4c5f-9790-9e688c75d6ee}" providerId="google-sheets"/>
  <x18tc:person displayName="sugimoto.n@drjoy.jp" id="{b0c4d5a9-0dcf-477f-aba9-35502df756cd}" userId="sugimoto.n@drjoy.jp" providerId="google-sheets"/>
  <x18tc:person displayName="sumi.k@drjoy.jp" id="{53ce439c-7651-4585-a1be-e7f913d268ae}" userId="sumi.k@drjoy.jp" providerId="google-sheets"/>
  <x18tc:person displayName="inoue.t@drjoy.jp" id="{0df47a6c-519a-480c-ad09-229696e747ca}" userId="inoue.t@drjoy.jp" providerId="google-sheets"/>
  <x18tc:person displayName="ハルThanh" id="{63c4c9f1-079e-4832-8cb2-def58d27f03a}" providerId="google-sheets"/>
  <x18tc:person displayName="ハオHao" id="{884fb43d-ed22-49d6-8fc7-95eabd22f6eb}" providerId="google-sheets"/>
  <x18tc:person displayName="fujita.m@drjoy.jp" id="{b9344e04-04d6-4657-96e5-47a2797286d5}" userId="fujita.m@drjoy.jp" providerId="google-sheets"/>
  <x18tc:person displayName="杉本尚士" id="{83b1e525-7c08-4ac6-a963-bc89b7262567}" providerId="google-sheets"/>
  <x18tc:person displayName="hamaguchi.t@drjoy.jp" id="{99131540-0007-466a-9fe9-cb451c30bfae}" userId="hamaguchi.t@drjoy.jp" providerId="google-sheets"/>
  <x18tc:person displayName="大河原隼人" id="{71bafd29-c835-4306-bd1b-e26389c5db0a}" providerId="google-sheets"/>
</x18tc:personList>
</file>

<file path=xl/tables/table1.xml><?xml version="1.0" encoding="utf-8"?>
<table xmlns="http://schemas.openxmlformats.org/spreadsheetml/2006/main" ref="B2:H6" displayName="表_2" name="表_2" id="1">
  <tableColumns count="7">
    <tableColumn name="#" id="1"/>
    <tableColumn name="ステータス" id="2"/>
    <tableColumn name="起票者" id="3"/>
    <tableColumn name="起票日" id="4"/>
    <tableColumn name="内容" id="5"/>
    <tableColumn name="回答者" id="6"/>
    <tableColumn name="回答" id="7"/>
  </tableColumns>
  <tableStyleInfo name="固定シナリオサンプルFB-style" showColumnStripes="0" showFirstColumn="1" showLastColumn="1" showRowStripes="1"/>
</table>
</file>

<file path=xl/tables/table2.xml><?xml version="1.0" encoding="utf-8"?>
<table xmlns="http://schemas.openxmlformats.org/spreadsheetml/2006/main" ref="B2:H6" displayName="表_4" name="表_4" id="2">
  <tableColumns count="7">
    <tableColumn name="#" id="1"/>
    <tableColumn name="ステータス" id="2"/>
    <tableColumn name="起票者" id="3"/>
    <tableColumn name="起票日" id="4"/>
    <tableColumn name="内容（〇〇であるべきだが△△になっている）" id="5"/>
    <tableColumn name="回答者" id="6"/>
    <tableColumn name="回答" id="7"/>
  </tableColumns>
  <tableStyleInfo name="商談┃診療デモFB-style" showColumnStripes="0" showFirstColumn="1" showLastColumn="1" showRowStripes="1"/>
</table>
</file>

<file path=xl/tables/table3.xml><?xml version="1.0" encoding="utf-8"?>
<table xmlns="http://schemas.openxmlformats.org/spreadsheetml/2006/main" headerRowCount="0" ref="D1:F3" displayName="Table_1" name="Table_1" id="3">
  <tableColumns count="3">
    <tableColumn name="Column1" id="1"/>
    <tableColumn name="Column2" id="2"/>
    <tableColumn name="Column3" id="3"/>
  </tableColumns>
  <tableStyleInfo name="WBS-style" showColumnStripes="0" showFirstColumn="1" showLastColumn="1" showRowStripes="1"/>
</table>
</file>

<file path=xl/tables/table4.xml><?xml version="1.0" encoding="utf-8"?>
<table xmlns="http://schemas.openxmlformats.org/spreadsheetml/2006/main" ref="A4:R75" displayName="ブレケケ稼働開始" name="ブレケケ稼働開始" id="4">
  <tableColumns count="18">
    <tableColumn name="開発orテスト" id="1"/>
    <tableColumn name="分類" id="2"/>
    <tableColumn name="タスク名" id="3"/>
    <tableColumn name="概要" id="4"/>
    <tableColumn name="担当者" id="5"/>
    <tableColumn name="優先度" id="6"/>
    <tableColumn name="チケットＵＲＬ" id="7"/>
    <tableColumn name="状態" id="8"/>
    <tableColumn name="遅延有無" id="9"/>
    <tableColumn name="開始予定日" id="10"/>
    <tableColumn name="開始日" id="11"/>
    <tableColumn name="終了予定日" id="12"/>
    <tableColumn name="終了日" id="13"/>
    <tableColumn name="成果物リンク" id="14"/>
    <tableColumn name="備考" id="15"/>
    <tableColumn name="終了予定日が3日以内" id="16"/>
    <tableColumn name="終了予定日が昨日以前" id="17"/>
    <tableColumn name="開始日が今日以前" id="18"/>
  </tableColumns>
  <tableStyleInfo name="WBS-style 2" showColumnStripes="0" showFirstColumn="1" showLastColumn="1" showRowStripes="1"/>
</table>
</file>

<file path=xl/tables/table5.xml><?xml version="1.0" encoding="utf-8"?>
<table xmlns="http://schemas.openxmlformats.org/spreadsheetml/2006/main" headerRowCount="0" ref="D1:F3" displayName="Table_2" name="Table_2" id="5">
  <tableColumns count="3">
    <tableColumn name="Column1" id="1"/>
    <tableColumn name="Column2" id="2"/>
    <tableColumn name="Column3" id="3"/>
  </tableColumns>
  <tableStyleInfo name="WBS（Dev3専用）-style" showColumnStripes="0" showFirstColumn="1" showLastColumn="1" showRowStripes="1"/>
</table>
</file>

<file path=xl/tables/table6.xml><?xml version="1.0" encoding="utf-8"?>
<table xmlns="http://schemas.openxmlformats.org/spreadsheetml/2006/main" ref="A4:S73" displayName="ブレケケ稼働開始_2" name="ブレケケ稼働開始_2" id="6">
  <tableColumns count="19">
    <tableColumn name="開発orテスト" id="1"/>
    <tableColumn name="分類" id="2"/>
    <tableColumn name="タスク名" id="3"/>
    <tableColumn name="概要" id="4"/>
    <tableColumn name="担当者" id="5"/>
    <tableColumn name="優先度" id="6"/>
    <tableColumn name="チケットＵＲＬ" id="7"/>
    <tableColumn name="TSチェック" id="8"/>
    <tableColumn name="状態" id="9"/>
    <tableColumn name="遅延有無" id="10"/>
    <tableColumn name="開始予定日" id="11"/>
    <tableColumn name="開始日" id="12"/>
    <tableColumn name="終了予定日" id="13"/>
    <tableColumn name="終了日" id="14"/>
    <tableColumn name="成果物リンク" id="15"/>
    <tableColumn name="備考" id="16"/>
    <tableColumn name="終了予定日が3日以内" id="17"/>
    <tableColumn name="終了予定日が昨日以前" id="18"/>
    <tableColumn name="開始日が今日以前" id="19"/>
  </tableColumns>
  <tableStyleInfo name="WBS（Dev3専用）-style 2" showColumnStripes="0" showFirstColumn="1" showLastColumn="1" showRowStripes="1"/>
</table>
</file>

<file path=xl/tables/table7.xml><?xml version="1.0" encoding="utf-8"?>
<table xmlns="http://schemas.openxmlformats.org/spreadsheetml/2006/main" ref="B2:H45" displayName="表_3" name="表_3" id="7">
  <tableColumns count="7">
    <tableColumn name="#" id="1"/>
    <tableColumn name="発言者" id="2"/>
    <tableColumn name="内容" id="3"/>
    <tableColumn name="詳細" id="4"/>
    <tableColumn name="回答" id="5"/>
    <tableColumn name="備考" id="6"/>
    <tableColumn name="列 1" id="7"/>
  </tableColumns>
  <tableStyleInfo name="DrJOY内部用質問管理表-style" showColumnStripes="0" showFirstColumn="1" showLastColumn="1" showRowStripes="1"/>
</table>
</file>

<file path=xl/tables/table8.xml><?xml version="1.0" encoding="utf-8"?>
<table xmlns="http://schemas.openxmlformats.org/spreadsheetml/2006/main" ref="A1:S26" displayName="表" name="表" id="8">
  <autoFilter ref="$A$1:$S$26"/>
  <tableColumns count="19">
    <tableColumn name="開発orテスト" id="1"/>
    <tableColumn name="分類" id="2"/>
    <tableColumn name="Column 18" id="3"/>
    <tableColumn name="タスク名" id="4"/>
    <tableColumn name="Column 17" id="5"/>
    <tableColumn name="概要" id="6"/>
    <tableColumn name="概要 Tổng quan" id="7"/>
    <tableColumn name="担当者" id="8"/>
    <tableColumn name="優先度" id="9"/>
    <tableColumn name="チケットＵＲＬ" id="10"/>
    <tableColumn name="Column 19" id="11"/>
    <tableColumn name="状態" id="12"/>
    <tableColumn name="遅延有無" id="13"/>
    <tableColumn name="開始予定日" id="14"/>
    <tableColumn name="開始日" id="15"/>
    <tableColumn name="終了予定日" id="16"/>
    <tableColumn name="終了日" id="17"/>
    <tableColumn name="成果物リンク" id="18"/>
    <tableColumn name="備考" id="19"/>
  </tableColumns>
  <tableStyleInfo name="WBS_VN-style" showColumnStripes="0" showFirstColumn="1" showLastColumn="1" showRowStripes="1"/>
</table>
</file>

<file path=xl/tables/table9.xml><?xml version="1.0" encoding="utf-8"?>
<table xmlns="http://schemas.openxmlformats.org/spreadsheetml/2006/main" ref="A1:G9" displayName="表_1" name="表_1" id="9">
  <tableColumns count="7">
    <tableColumn name="サービス名" id="1"/>
    <tableColumn name="月額基本料／番号" id="2"/>
    <tableColumn name="通話料（発信時）" id="3"/>
    <tableColumn name="着信時課金" id="4"/>
    <tableColumn name="留守電・録音" id="5"/>
    <tableColumn name="API連携" id="6"/>
    <tableColumn name="主な特長・適性" id="7"/>
  </tableColumns>
  <tableStyleInfo name="050比較-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20T03:10:53.00" personId="{d273fb70-b56e-4105-b0b8-089baae0bdbe}" id="{01eb8194-b8f1-41bb-a2ec-dad19d2e24c7}" done="0">
    <x18tc:text xml:space="preserve">音声認識	発話→テキスト認識精度の検証	Google STT／アミボイスでの名前・診療科の認識精度確認。誤変換率検証。
応答品質	TTSレスポンスの自然さ／遅延確認	合成音声の速度、自然さ、音質、ピロン音の入り方などのUXテスト。
エンティティ	誤発話の正常分類チェック	「なんか」→「内科」などの誤変換から正規カテゴリへマッピングできるか検証。
フロー検証	IVR分岐の動作確認	時間帯・スケジュールによって正しくルート分岐しているかの検証。
音声録音	通話録音ファイルの保存確認	録音ファイルが正しく保存され、後から再生可能か。ダミー内線ユーザーの設定動作含む。
OpenAI	API応答スピードとエラーハンドリング	高負荷時の応答遅延、API不調時のフェールオーバー確認。
モジュール連携	DB連携データ保存／復元テスト	DBへ記録された発話意図が、別ノードで正しく再取得されるか。
UIテスト	フローデザイナー編集内容の反映	編集後の反映タイムラグ（約30秒）や保存状態の保持確認。
運用テスト	ガイダンスの誤読／冒頭切れ対策確認	モバイルからの通話で最初の音声が欠けないか。ウェイト設定の効果確認。</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 dT="2025-09-16T05:47:02.00" personId="{d273fb70-b56e-4105-b0b8-089baae0bdbe}" id="{bf9bd516-214c-4972-b130-2154fc8c9239}" done="0">
    <x18tc:text xml:space="preserve">@sumi.k@drjoy.jp さん
ここ、確認をお願いできますでしょうか。。。！！！
sumi.k@drjoy.jp さんに割り当てました</x18tc:text>
    <x18tc:mentions>
      <x18tc:mention mentionpersonId="{53ce439c-7651-4585-a1be-e7f913d268ae}" mentionId="{190d933e-1317-4dd2-8f70-b9a742c35a85}" startIndex="0" length="16"/>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 dT="2025-11-05T09:01:10.00" personId="{83b1e525-7c08-4ac6-a963-bc89b7262567}" id="{ef6ab73b-d76d-4094-8cd7-8f4aaed9edb3}" done="0">
    <x18tc:text xml:space="preserve">@sugimoto.n@drjoy.jp 
amivoiveは同じ文言を登録するとどれが選ばれるか不定
複数のリストを選択した場合、リストの内容を返す前に重複チェックをして、重複された場合はリスト上で上ものを優先する
sugimoto.n@drjoy.jp さんに割り当てました</x18tc:text>
    <x18tc:mentions>
      <x18tc:mention mentionpersonId="{b0c4d5a9-0dcf-477f-aba9-35502df756cd}" mentionId="{91e30402-9cda-42b4-a492-a16a5131a557}" startIndex="0" length="20"/>
    </x18tc:mentions>
  </x18tc:threadedComment>
  <x18tc:threadedComment ref="D74" dT="2026-03-03T08:47:50.00" personId="{d273fb70-b56e-4105-b0b8-089baae0bdbe}" id="{06629362-88f7-4c78-af5a-d49fa46bc713}" done="0">
    <x18tc:text xml:space="preserve">@hamaguchi.t@drjoy.jp 
@fujita.m@drjoy.jp 
@okawara.h@drjoy.jp 
"rengaValues"の粒度、、検討してもらってもよいでしょうか。
※できれば3/11（水）のDev3との定例までに。
hamaguchi.t@drjoy.jp さんに割り当てました</x18tc:text>
    <x18tc:mentions>
      <x18tc:mention mentionpersonId="{99131540-0007-466a-9fe9-cb451c30bfae}" mentionId="{21785d37-466d-47a7-a103-0f623fdba193}" startIndex="0" length="21"/>
      <x18tc:mention mentionpersonId="{b9344e04-04d6-4657-96e5-47a2797286d5}" mentionId="{0fc90261-e089-4479-8446-d7cd22f28b4a}" startIndex="23" length="18"/>
      <x18tc:mention mentionpersonId="{bf2b4968-792d-4549-8a5d-4b4bd1719a30}" mentionId="{c0d5573b-223f-4bc8-ba56-0e81849bc1bb}" startIndex="43" length="19"/>
    </x18tc:mentions>
  </x18tc:threadedComment>
  <x18tc:threadedComment ref="G51" dT="2025-10-29T08:41:51.00" personId="{d273fb70-b56e-4105-b0b8-089baae0bdbe}" id="{35d389ae-e661-40f4-a4a7-bf28aed0df30}" done="1">
    <x18tc:text xml:space="preserve">@sugimoto.n@drjoy.jp さん
こちらもチケットをお願いします！
sugimoto.n@drjoy.jp さんに割り当てました</x18tc:text>
    <x18tc:mentions>
      <x18tc:mention mentionpersonId="{b0c4d5a9-0dcf-477f-aba9-35502df756cd}" mentionId="{372ad1ac-3855-407e-abf5-ef52fadf345e}" startIndex="0" length="20"/>
    </x18tc:mentions>
  </x18tc:threadedComment>
  <x18tc:threadedComment ref="G51" dT="2025-10-31T09:29:02.00" personId="{83b1e525-7c08-4ac6-a963-bc89b7262567}" id="{ee9aaa9f-3349-48dd-8162-6bdd5949604e}" parentId="{35d389ae-e661-40f4-a4a7-bf28aed0df30}">
    <x18tc:text xml:space="preserve">@inoue.t@drjoy.jp こちら来週月曜のブレケケ定例で確認させてください。admin側のデザイン仕様を確認します</x18tc:text>
    <x18tc:mentions>
      <x18tc:mention mentionpersonId="{0df47a6c-519a-480c-ad09-229696e747ca}" mentionId="{e16915a9-de84-41da-820d-ff4aeb9bb76b}" startIndex="0" length="17"/>
    </x18tc:mentions>
  </x18tc:threadedComment>
  <x18tc:threadedComment ref="O17" dT="2025-08-28T08:34:46.00" personId="{83b1e525-7c08-4ac6-a963-bc89b7262567}" id="{988b07f0-d288-4795-a886-5b400bd70d34}" done="0">
    <x18tc:text xml:space="preserve">@sugimoto.n@drjoy.jp
sugimoto.n@drjoy.jp さんに割り当てました</x18tc:text>
    <x18tc:mentions>
      <x18tc:mention mentionpersonId="{b0c4d5a9-0dcf-477f-aba9-35502df756cd}" mentionId="{f3d21b1c-2074-4d31-ac55-af9130932dfd}" startIndex="0" length="20"/>
    </x18tc:mentions>
  </x18tc:threadedComment>
  <x18tc:threadedComment ref="O19" dT="2025-08-22T08:15:49.00" personId="{d273fb70-b56e-4105-b0b8-089baae0bdbe}" id="{7f6543af-6761-42f5-8169-425a62d03027}" done="0">
    <x18tc:text xml:space="preserve">■最終成果物で見たい指標
通話完了率/途中切断率/冒頭切断率
総受電件数（前月比）
重複する入電数（前月比）
シナリオ本数
紹介病院数／視察受入数
金額／件（前月比）
SMS活用件数／月（前月比）
■コールログから出力してほしい項目通話ID
タイプ
通話日時
通話時間
会話シナリオ
バージョン
オペレータ名
電話番号
チェックポイント
区分
診療科
連絡先電話番号
生年月日
callId
callSid
accountSid
通話日時（詳細）
from（発信元）
to（着信先）
発着信区分
通話開始日時
通話終了日時
通話結果
会話シナリオ名
通話時間（秒）
転送後の通話時間（秒）
モニターコール通話時間（秒）
システムテスト通話時間（秒）
interfaceId
会話インタフェース名</x18tc:text>
  </x18tc:threadedComment>
  <x18tc:threadedComment ref="G74" dT="2026-03-03T08:42:24.00" personId="{d273fb70-b56e-4105-b0b8-089baae0bdbe}" id="{7dd4b091-620d-4cc1-bd45-23805742f3aa}" done="0">
    <x18tc:text xml:space="preserve">@sugimoto.n@drjoy.jp さん
チケット起票お願いします・・！！
sugimoto.n@drjoy.jp さんに割り当てました</x18tc:text>
    <x18tc:mentions>
      <x18tc:mention mentionpersonId="{b0c4d5a9-0dcf-477f-aba9-35502df756cd}" mentionId="{40cb8c0f-4bdc-43b9-9a06-740430d7e7c1}" startIndex="0" length="20"/>
    </x18tc:mentions>
  </x18tc:threadedComment>
  <x18tc:threadedComment ref="G52" dT="2025-10-29T08:39:12.00" personId="{d273fb70-b56e-4105-b0b8-089baae0bdbe}" id="{154c527b-6005-46d9-b9a9-a568440540f1}" done="1">
    <x18tc:text xml:space="preserve">@sugimoto.n@drjoy.jp さん
こちらもチケットをお願いします！
sugimoto.n@drjoy.jp さんに割り当てました</x18tc:text>
    <x18tc:mentions>
      <x18tc:mention mentionpersonId="{b0c4d5a9-0dcf-477f-aba9-35502df756cd}" mentionId="{aeefffee-dba8-442e-97c9-ebda4360f5da}" startIndex="0" length="20"/>
    </x18tc:mentions>
  </x18tc:threadedComment>
  <x18tc:threadedComment ref="G52" dT="2025-10-31T09:29:54.00" personId="{83b1e525-7c08-4ac6-a963-bc89b7262567}" id="{9ac7e7df-4ea2-4cc9-86b6-656a460d32c3}" parentId="{154c527b-6005-46d9-b9a9-a568440540f1}">
    <x18tc:text xml:space="preserve">@inoue.t@drjoy.jp こちらも同様に仕様を来週月曜日に確認させてください</x18tc:text>
    <x18tc:mentions>
      <x18tc:mention mentionpersonId="{0df47a6c-519a-480c-ad09-229696e747ca}" mentionId="{4da2a41e-18dc-4ab5-9d35-403340db4ade}" startIndex="0" length="17"/>
    </x18tc:mentions>
  </x18tc:threadedComment>
  <x18tc:threadedComment ref="L7" dT="2025-08-27T07:13:51.00" personId="{63c4c9f1-079e-4832-8cb2-def58d27f03a}" id="{b88f77bb-7716-418b-90c2-99ac734b262d}" done="1">
    <x18tc:text xml:space="preserve">バグがあり、修正して、明日に完了する予定です</x18tc:text>
  </x18tc:threadedComment>
  <x18tc:threadedComment ref="J28" dT="2025-08-29T08:14:08.00" personId="{d273fb70-b56e-4105-b0b8-089baae0bdbe}" id="{94b2af0f-601c-4f2c-92f1-58f1a39e6969}" done="0">
    <x18tc:text xml:space="preserve">8/22→9/8へ変更
Dr.JOYへの連携用モジュール開発町のため。</x18tc:text>
  </x18tc:threadedComment>
  <x18tc:threadedComment ref="G37" dT="2025-09-09T08:24:50.00" personId="{d273fb70-b56e-4105-b0b8-089baae0bdbe}" id="{eb885b0a-0280-4b81-a5b6-c8729a42bfca}" done="1">
    <x18tc:text xml:space="preserve">@sugimoto.n@drjoy.jp 
ここです！</x18tc:text>
    <x18tc:mentions>
      <x18tc:mention mentionpersonId="{b0c4d5a9-0dcf-477f-aba9-35502df756cd}" mentionId="{c19b4ab4-61bc-4e68-b0cd-cc3470183e8d}" startIndex="0" length="20"/>
    </x18tc:mentions>
  </x18tc:threadedComment>
  <x18tc:threadedComment ref="G60" dT="2025-11-07T08:17:06.00" personId="{d273fb70-b56e-4105-b0b8-089baae0bdbe}" id="{56fcbe5e-b4f8-486f-b410-6734b890eb2e}" done="1">
    <x18tc:text xml:space="preserve">@sugimoto.n@drjoy.jp さん
チケットお願いします
sugimoto.n@drjoy.jp さんに割り当てました</x18tc:text>
    <x18tc:mentions>
      <x18tc:mention mentionpersonId="{b0c4d5a9-0dcf-477f-aba9-35502df756cd}" mentionId="{40244ade-f4e9-47be-81de-c1b8034b8af0}" startIndex="0" length="20"/>
    </x18tc:mentions>
  </x18tc:threadedComment>
  <x18tc:threadedComment ref="C37" dT="2025-09-09T08:25:16.00" personId="{83b1e525-7c08-4ac6-a963-bc89b7262567}" id="{06f0c4b9-a6eb-4777-a104-0461cfee87e9}" done="0">
    <x18tc:text xml:space="preserve">@sugimoto.n@drjoy.jp
sugimoto.n@drjoy.jp さんに割り当てました</x18tc:text>
    <x18tc:mentions>
      <x18tc:mention mentionpersonId="{b0c4d5a9-0dcf-477f-aba9-35502df756cd}" mentionId="{9c912aaf-be02-4c6e-a5c4-ccfbc5242d3a}" startIndex="0" length="20"/>
    </x18tc:mentions>
  </x18tc:threadedComment>
  <x18tc:threadedComment ref="D18" dT="2025-08-19T09:50:49.00" personId="{d273fb70-b56e-4105-b0b8-089baae0bdbe}" id="{5a433170-7084-44c6-9071-3e03b9a32442}" done="0">
    <x18tc:text xml:space="preserve">Brekekeの通話履歴をLookerで読める状態にする
【Dr.JOY】ブレケケ様 お打ち合わせの日程調整
メール抜粋
&gt;&gt; ・ブレケケPBXでの施設毎の請求バウチャーの作成イメージ
&gt;&gt;　 ※施設毎に分けて、電話番号単位で明細化。（通話レコード単位の明細までは
&gt;&gt; 不要）
&gt;&gt; ・電話番号単位（施設単位でマージすることができる状態）での通話結果のスコ
&gt;&gt; ア化可否
⇒メーカー純正の明細アプリはございません。
CDRという通話ログを吐出す（DBも可）機能がございます。
代理店様毎にサービス独自の考え方で明細アプリを作っていただいております。
SIP Server → CDR　の設定項目がそれに該当します。</x18tc:text>
  </x18tc:threadedComment>
  <x18tc:threadedComment ref="O21" dT="2025-09-08T08:26:49.00" personId="{83b1e525-7c08-4ac6-a963-bc89b7262567}" id="{3d2a4777-2b0b-467b-b4d3-82731195356d}" done="0">
    <x18tc:text xml:space="preserve">@sumi.k@drjoy.jp 本番環境できたようです！
sumi.k@drjoy.jp さんに割り当てました</x18tc:text>
    <x18tc:mentions>
      <x18tc:mention mentionpersonId="{53ce439c-7651-4585-a1be-e7f913d268ae}" mentionId="{6951e398-d677-4731-bb3e-5aafb0b2531c}" startIndex="0" length="16"/>
    </x18tc:mentions>
  </x18tc:threadedComment>
  <x18tc:threadedComment ref="K13" dT="2025-08-22T07:39:44.00" personId="{63c4c9f1-079e-4832-8cb2-def58d27f03a}" id="{37cc15b3-d499-4d2e-9f28-50543796595e}" done="0">
    <x18tc:text xml:space="preserve">角さんが対応しているNo. 18 録音プラグインが完了してから、着手します。</x18tc:text>
  </x18tc:threadedComment>
  <x18tc:threadedComment ref="G55" dT="2025-10-29T08:38:50.00" personId="{d273fb70-b56e-4105-b0b8-089baae0bdbe}" id="{5671f58c-66a5-4336-b7e6-ed65a230c002}" done="1">
    <x18tc:text xml:space="preserve">@sugimoto.n@drjoy.jp さん
こちらもチケットをお願いします！
sugimoto.n@drjoy.jp さんに割り当てました</x18tc:text>
    <x18tc:mentions>
      <x18tc:mention mentionpersonId="{b0c4d5a9-0dcf-477f-aba9-35502df756cd}" mentionId="{25ac8ca5-d859-42e9-83e1-d3c4467d0fd2}" startIndex="0" length="20"/>
    </x18tc:mentions>
  </x18tc:threadedComment>
  <x18tc:threadedComment ref="G55" dT="2025-10-31T09:30:35.00" personId="{83b1e525-7c08-4ac6-a963-bc89b7262567}" id="{f52df57c-7a2f-4e12-bf4d-8be013c1fd7a}" parentId="{5671f58c-66a5-4336-b7e6-ed65a230c002}">
    <x18tc:text xml:space="preserve">@inoue.t@drjoy.jp こちらも</x18tc:text>
    <x18tc:mentions>
      <x18tc:mention mentionpersonId="{0df47a6c-519a-480c-ad09-229696e747ca}" mentionId="{4cf8a8d9-5849-4023-bfb5-b27f2d538dc3}" startIndex="0" length="17"/>
    </x18tc:mentions>
  </x18tc:threadedComment>
  <x18tc:threadedComment ref="G55" dT="2025-10-31T09:49:13.00" personId="{d273fb70-b56e-4105-b0b8-089baae0bdbe}" id="{abf7163f-bd57-4a9b-a359-dad58c8b8b3c}" parentId="{5671f58c-66a5-4336-b7e6-ed65a230c002}">
    <x18tc:text xml:space="preserve">完了マークを付けました</x18tc:text>
  </x18tc:threadedComment>
  <x18tc:threadedComment ref="G55" dT="2025-10-31T09:50:06.00" personId="{d273fb70-b56e-4105-b0b8-089baae0bdbe}" id="{a98cec95-818a-4134-8300-d6aedc36fe6a}" parentId="{5671f58c-66a5-4336-b7e6-ed65a230c002}">
    <x18tc:text xml:space="preserve">ReOpen！
再開しました</x18tc:text>
  </x18tc:threadedComment>
  <x18tc:threadedComment ref="G62" dT="2025-12-10T08:16:11.00" personId="{d273fb70-b56e-4105-b0b8-089baae0bdbe}" id="{cc214cc3-b192-4fe0-ac50-ad88b97d12bd}" done="1">
    <x18tc:text xml:space="preserve">@sugimoto.n@drjoy.jp さん
チケットお願いします！
sugimoto.n@drjoy.jp さんに割り当てました</x18tc:text>
    <x18tc:mentions>
      <x18tc:mention mentionpersonId="{b0c4d5a9-0dcf-477f-aba9-35502df756cd}" mentionId="{909ba52d-bc48-4ae4-ae1d-92cae706cc3c}" startIndex="0" length="20"/>
    </x18tc:mentions>
  </x18tc:threadedComment>
  <x18tc:threadedComment ref="K2" dT="2025-08-28T08:43:34.00" personId="{d273fb70-b56e-4105-b0b8-089baae0bdbe}" id="{da9ec361-fdb6-48fb-bb33-bc5defda2760}" done="0">
    <x18tc:text xml:space="preserve">1.通話ができる
2.ログがDr.JOYに反映される
3.録音がDr.JOYに連携され再生できる</x18tc:text>
  </x18tc:threadedComment>
  <x18tc:threadedComment ref="O18" dT="2025-08-19T09:50:15.00" personId="{d273fb70-b56e-4105-b0b8-089baae0bdbe}" id="{a35c7037-8cca-4b08-ac7d-6780be6d1e42}" done="0">
    <x18tc:text xml:space="preserve">■最終成果物で見たい指標
通話完了率/途中切断率/冒頭切断率
総受電件数（前月比）
重複する入電数（前月比）
シナリオ本数
紹介病院数／視察受入数
金額／件（前月比）
SMS活用件数／月（前月比）
■コールログから出力してほしい項目通話ID
タイプ
通話日時
通話時間
会話シナリオ
バージョン
オペレータ名
電話番号
チェックポイント
区分
診療科
連絡先電話番号
生年月日
callId
callSid
accountSid
通話日時（詳細）
from（発信元）
to（着信先）
発着信区分
通話開始日時
通話終了日時
通話結果
会話シナリオ名
通話時間（秒）
転送後の通話時間（秒）
モニターコール通話時間（秒）
システムテスト通話時間（秒）
interfaceId
会話インタフェース名</x18tc:text>
  </x18tc:threadedComment>
  <x18tc:threadedComment ref="D64" dT="2025-11-25T09:43:16.00" personId="{63c4c9f1-079e-4832-8cb2-def58d27f03a}" id="{270c5e28-e6f8-4a07-8473-3b25f57d2487}" done="1">
    <x18tc:text xml:space="preserve">@inoue.t@drjoy.jp 
回答しましたので、ご確認お願いいたします。
inoue.t@drjoy.jp さんに割り当てました</x18tc:text>
    <x18tc:mentions>
      <x18tc:mention mentionpersonId="{0df47a6c-519a-480c-ad09-229696e747ca}" mentionId="{dd230baa-1ea8-43bc-87b4-4f262ab6979e}" startIndex="0" length="17"/>
    </x18tc:mentions>
  </x18tc:threadedComment>
  <x18tc:threadedComment ref="O45" dT="2025-11-21T05:33:22.00" personId="{d273fb70-b56e-4105-b0b8-089baae0bdbe}" id="{8896f8ee-1ebe-45eb-a2e7-da10899700fd}" done="0">
    <x18tc:text xml:space="preserve">@inoue.t@drjoy.jp
inoue.t@drjoy.jp さんに割り当てました</x18tc:text>
    <x18tc:mentions>
      <x18tc:mention mentionpersonId="{0df47a6c-519a-480c-ad09-229696e747ca}" mentionId="{3e4856f8-8217-48d8-9e02-5ca4306b2ebb}" startIndex="0" length="17"/>
    </x18tc:mentions>
  </x18tc:threadedComment>
  <x18tc:threadedComment ref="G69" dT="2026-01-23T08:44:52.00" personId="{d273fb70-b56e-4105-b0b8-089baae0bdbe}" id="{b8d42bd1-7c06-41d7-a283-5d342356447b}" done="1">
    <x18tc:text xml:space="preserve">@thanh.pham@drjoy.vn さん
チケット起票もお願いします＞＜
260206・・で・・。。
thanh.pham@drjoy.vn さんに割り当てました</x18tc:text>
    <x18tc:mentions>
      <x18tc:mention mentionpersonId="{53457860-d2fc-46bd-9d58-7d29f5139ceb}" mentionId="{72a54bed-b285-44a4-9859-2cfcc0b18511}" startIndex="0" length="20"/>
    </x18tc:mentions>
  </x18tc:threadedComment>
  <x18tc:threadedComment ref="H59" dT="2026-01-23T08:51:11.00" personId="{d273fb70-b56e-4105-b0b8-089baae0bdbe}" id="{41611e12-53fb-4088-afb5-0af957644a70}" done="0">
    <x18tc:text xml:space="preserve">エーアイトーク購入決定したら、不要。</x18tc:text>
  </x18tc:threadedComment>
  <x18tc:threadedComment ref="L14" dT="2025-08-27T07:13:24.00" personId="{63c4c9f1-079e-4832-8cb2-def58d27f03a}" id="{c3ed8c29-68ba-4f02-a533-6c7bcff7f740}" done="1">
    <x18tc:text xml:space="preserve">バグがあり、修正して、明日に完了する予定です</x18tc:text>
  </x18tc:threadedComment>
  <x18tc:threadedComment ref="D16" dT="2025-08-06T03:39:34.00" personId="{83b1e525-7c08-4ac6-a963-bc89b7262567}" id="{08673dec-209c-4e7e-ace5-d83aedad71b9}" done="1">
    <x18tc:text xml:space="preserve">間に合わない場合はブレケケ内に直接書くことで対応</x18tc:text>
  </x18tc:threadedComment>
  <x18tc:threadedComment ref="D16" dT="2025-09-22T08:19:46.00" personId="{d273fb70-b56e-4105-b0b8-089baae0bdbe}" id="{c70596fb-2319-4cf6-8b15-50307ead978f}" parentId="{08673dec-209c-4e7e-ace5-d83aedad71b9}">
    <x18tc:text xml:space="preserve">@sugimoto.n@drjoy.jp さん
要件固めましたので、チケット更新お願いします。
ハルさんには会話済みです。</x18tc:text>
    <x18tc:mentions>
      <x18tc:mention mentionpersonId="{b0c4d5a9-0dcf-477f-aba9-35502df756cd}" mentionId="{af612609-1e67-4cf3-a295-a10552b15e6f}" startIndex="0" length="20"/>
    </x18tc:mentions>
  </x18tc:threadedComment>
  <x18tc:threadedComment ref="L12" dT="2025-08-27T06:38:57.00" personId="{63c4c9f1-079e-4832-8cb2-def58d27f03a}" id="{93442e6b-1d31-4fa8-906d-1dbb30328d44}" done="1">
    <x18tc:text xml:space="preserve">角さんと相談し、通話データの保存仕組みが変更され、DBの作成、pub/subの対応が完了したら、引き続き対応いたします。</x18tc:text>
  </x18tc:threadedComment>
  <x18tc:threadedComment ref="H20" dT="2025-08-06T03:09:33.00" personId="{83b1e525-7c08-4ac6-a963-bc89b7262567}" id="{69f37d37-9a83-4423-b7d0-5b2a1a677753}" done="1">
    <x18tc:text xml:space="preserve">音声ストリームができるようになってから。</x18tc:text>
  </x18tc:threadedComment>
  <x18tc:threadedComment ref="G57" dT="2025-10-24T08:22:20.00" personId="{d273fb70-b56e-4105-b0b8-089baae0bdbe}" id="{b830e902-b72a-4ca8-8c37-33858da36b97}" done="1">
    <x18tc:text xml:space="preserve">@sugimoto.n@drjoy.jp さん
チケット起票お願いします！
sugimoto.n@drjoy.jp さんに割り当てました</x18tc:text>
    <x18tc:mentions>
      <x18tc:mention mentionpersonId="{b0c4d5a9-0dcf-477f-aba9-35502df756cd}" mentionId="{9664ca94-abbd-4795-a13b-2470716777fc}" startIndex="0" length="20"/>
    </x18tc:mentions>
  </x18tc:threadedComment>
  <x18tc:threadedComment ref="C52" dT="2025-12-05T08:11:05.00" personId="{d273fb70-b56e-4105-b0b8-089baae0bdbe}" id="{1bee9ee6-60ce-41bc-bbea-01f4ba0814bf}" done="0">
    <x18tc:text xml:space="preserve">@inoue.t@drjoy.jp 
n8nの要件定義を決めなさい
inoue.t@drjoy.jp さんに割り当てました</x18tc:text>
    <x18tc:mentions>
      <x18tc:mention mentionpersonId="{0df47a6c-519a-480c-ad09-229696e747ca}" mentionId="{9f9f6b30-6b4b-4409-a29f-649fff35f33a}" startIndex="0" length="17"/>
    </x18tc:mentions>
  </x18tc:threadedComment>
  <x18tc:threadedComment ref="K1" dT="2025-08-27T08:39:57.00" personId="{d273fb70-b56e-4105-b0b8-089baae0bdbe}" id="{270e6b7b-1e69-48f9-9190-828aa6d6fa1f}" done="0">
    <x18tc:text xml:space="preserve">drjoy_admin
dryoi0001</x18tc:text>
  </x18tc:threadedComment>
  <x18tc:threadedComment ref="D54" dT="2025-09-26T08:45:27.00" personId="{d273fb70-b56e-4105-b0b8-089baae0bdbe}" id="{83b0e480-c1ad-4f8e-894b-5c9486626e08}" done="0">
    <x18tc:text xml:space="preserve">0 ゼロ
0 れい
0 まる
0 おー
0 Zero
1 ひー
1 いち
1 ワン
1 one
2 に
2 つー
2 ふー
2 two
2 ツー
3 さん
3 み
3 three
3 スリー
4 よん
4 しー
4 し
4 よー
4 C
4 Sea
4 four
4 フォー
5 ご
5 いつ
5 Go
5 five
5 ファイブ
6 ろく
6 ろー
6 む
6 むー
6 six
6 シックス
7 なな
7 しち
7 seven
7 セブン
8 はち
8 や
8 eight
8 エイト
9 きゅう
9 きゅー
9 Q
9 nine
9 ナイン</x18tc:text>
  </x18tc:threadedComment>
  <x18tc:threadedComment ref="O64" dT="2025-12-15T09:27:32.00" personId="{63c4c9f1-079e-4832-8cb2-def58d27f03a}" id="{d9e5b9ab-b70d-4bcb-adc1-c3591f89287c}" done="0">
    <x18tc:text xml:space="preserve">@inoue.t@drjoy.jp さん
API でレスポンスを確認することは可能ですが、
画面上で確認したい場合は、新規画面の作成が必要となります。
その画面にて、ログ ID、input、output を保存・表示する想定かと思います。
https://redmine.famishare.jp/issues/227911
1 月リリースに対応するチケットは、各事業所の通話ログに関する内容となるため、モジュールのログとしては適切ではないかと思います。
inoue.t@drjoy.jp さんに割り当てました</x18tc:text>
    <x18tc:mentions>
      <x18tc:mention mentionpersonId="{0df47a6c-519a-480c-ad09-229696e747ca}" mentionId="{07e1a685-6858-4887-9cf5-890ab9a79812}" startIndex="0" length="17"/>
    </x18tc:mentions>
    <x18tc:extLst>
      <ext uri="{F7C98A9C-CBB3-438F-8F68-D28B6AF4A901}">
        <xltc2:checksum/>
        <xltc2:hyperlink startIndex="121" length="42" url="https://redmine.famishare.jp/issues/227911"/>
      </ext>
    </x18tc:extLst>
  </x18tc:threadedComment>
  <x18tc:threadedComment ref="G58" dT="2025-10-29T08:38:30.00" personId="{d273fb70-b56e-4105-b0b8-089baae0bdbe}" id="{d6e72ac8-2f21-4ada-bdf0-a59658b63003}" done="1">
    <x18tc:text xml:space="preserve">@sugimoto.n@drjoy.jp さん
チケットを！
sugimoto.n@drjoy.jp さんに割り当てました</x18tc:text>
    <x18tc:mentions>
      <x18tc:mention mentionpersonId="{b0c4d5a9-0dcf-477f-aba9-35502df756cd}" mentionId="{c7ae8a2c-d1e8-468e-bc65-7c8503e85b2c}" startIndex="0" length="20"/>
    </x18tc:mentions>
  </x18tc:threadedComment>
  <x18tc:threadedComment ref="D16" dT="2025-09-24T11:13:01.00" personId="{83b1e525-7c08-4ac6-a963-bc89b7262567}" id="{76eafe0f-4a60-4f41-8b28-50485e34f9ce}" done="1">
    <x18tc:text xml:space="preserve">@inoue.t@drjoy.jp 明日の定例でこちらの詳細確認させてください。</x18tc:text>
    <x18tc:mentions>
      <x18tc:mention mentionpersonId="{0df47a6c-519a-480c-ad09-229696e747ca}" mentionId="{ecdf5a24-3716-4c16-a6e9-5294a20a263b}" startIndex="0" length="17"/>
    </x18tc:mentions>
  </x18tc:threadedComment>
  <x18tc:threadedComment ref="D16" dT="2025-09-24T12:52:50.00" personId="{d273fb70-b56e-4105-b0b8-089baae0bdbe}" id="{12e2ce68-e1f3-4387-b7f1-803d6460dbd5}" parentId="{76eafe0f-4a60-4f41-8b28-50485e34f9ce}">
    <x18tc:text xml:space="preserve">杉本さん
承知です！</x18tc:text>
  </x18tc:threadedComment>
  <x18tc:threadedComment ref="G46" dT="2025-10-29T08:42:38.00" personId="{d273fb70-b56e-4105-b0b8-089baae0bdbe}" id="{e495f6e9-078a-4d3b-a757-c2ef808e61af}" done="1">
    <x18tc:text xml:space="preserve">@sugimoto.n@drjoy.jp さん
チケット済み・・・でしょうか？
sugimoto.n@drjoy.jp さんに割り当てました</x18tc:text>
    <x18tc:mentions>
      <x18tc:mention mentionpersonId="{b0c4d5a9-0dcf-477f-aba9-35502df756cd}" mentionId="{3530e1e9-864f-421c-b408-29d6adc011e3}" startIndex="0" length="20"/>
    </x18tc:mentions>
  </x18tc:threadedComment>
  <x18tc:threadedComment ref="G64" dT="2025-11-12T08:24:12.00" personId="{d273fb70-b56e-4105-b0b8-089baae0bdbe}" id="{f3555841-9c9d-4ec2-9c09-be4fbd846fed}" done="1">
    <x18tc:text xml:space="preserve">@sugimoto.n@drjoy.jp さん
チケットお願いします！！
sugimoto.n@drjoy.jp さんに割り当てました</x18tc:text>
    <x18tc:mentions>
      <x18tc:mention mentionpersonId="{b0c4d5a9-0dcf-477f-aba9-35502df756cd}" mentionId="{023cb341-18d1-40da-be99-f879faedfa7f}" startIndex="0" length="20"/>
    </x18tc:mentions>
  </x18tc:threadedComment>
  <x18tc:threadedComment ref="D53" dT="2025-10-02T08:29:32.00" personId="{83b1e525-7c08-4ac6-a963-bc89b7262567}" id="{e0ad2e56-7df5-485c-a862-5444917c5011}" done="0">
    <x18tc:text xml:space="preserve">Amivoiceの送信先を変更する必要あり
TTSも変更する</x18tc:text>
  </x18tc:threadedComment>
  <x18tc:threadedComment ref="G63" dT="2026-01-05T08:17:59.00" personId="{d273fb70-b56e-4105-b0b8-089baae0bdbe}" id="{5045268d-047f-4b80-9615-231762b1b2b4}" done="1">
    <x18tc:text xml:space="preserve">@sugimoto.n@drjoy.jp さん
チケット化お願いします！！
できるだけ、2月リリース希望です！！
sugimoto.n@drjoy.jp さんに割り当てました</x18tc:text>
    <x18tc:mentions>
      <x18tc:mention mentionpersonId="{b0c4d5a9-0dcf-477f-aba9-35502df756cd}" mentionId="{919fe59e-4668-41c6-a1ac-c914837dbd1d}" startIndex="0" length="20"/>
    </x18tc:mentions>
  </x18tc:threadedComment>
  <x18tc:threadedComment ref="G63" dT="2026-01-06T02:41:18.00" personId="{83b1e525-7c08-4ac6-a963-bc89b7262567}" id="{9165e7f9-f11b-4f34-a826-7d751030f5a5}" parentId="{5045268d-047f-4b80-9615-231762b1b2b4}">
    <x18tc:text xml:space="preserve">@inoue.t@drjoy.jp 承知しました！すいません明日のブレケケ定例にて確認させてください
・空きがあるかどうかだけ確認する意図
・オンライン予約との連携(すいませんこれも未チケットでした。)
・カスタマイズ項目とBrekekeのデータ連携の方法</x18tc:text>
    <x18tc:mentions>
      <x18tc:mention mentionpersonId="{0df47a6c-519a-480c-ad09-229696e747ca}" mentionId="{054e5ca2-85ad-4bff-9085-6ec789015263}" startIndex="0" length="17"/>
    </x18tc:mentions>
  </x18tc:threadedComment>
  <x18tc:threadedComment ref="D55" dT="2025-11-05T08:38:24.00" personId="{d273fb70-b56e-4105-b0b8-089baae0bdbe}" id="{ffda5f7d-bf60-44b9-9408-fc5fbbcd4424}" done="1">
    <x18tc:text xml:space="preserve">@inoue.t@drjoy.jp 
以下、ブレケケ確認
複数のモジュールとサブモジュールのジャンプ設定を規定した、モジュールパレットのような利用方法はできるものか。
inoue.t@drjoy.jp さんに割り当てました</x18tc:text>
    <x18tc:mentions>
      <x18tc:mention mentionpersonId="{0df47a6c-519a-480c-ad09-229696e747ca}" mentionId="{c0dd555d-4f64-4c2e-87fe-608f53dabd65}" startIndex="0" length="17"/>
    </x18tc:mentions>
  </x18tc:threadedComment>
  <x18tc:threadedComment ref="D64" dT="2025-11-28T07:48:14.00" personId="{63c4c9f1-079e-4832-8cb2-def58d27f03a}" id="{f45cf727-b31a-4e05-8eb1-55980ba0180e}" done="0">
    <x18tc:text xml:space="preserve">@inoue.t@drjoy.jp 
追加要望は別途のチケットで対応いたします。
inoue.t@drjoy.jp さんに割り当てました</x18tc:text>
    <x18tc:mentions>
      <x18tc:mention mentionpersonId="{0df47a6c-519a-480c-ad09-229696e747ca}" mentionId="{c92e0b38-d0bc-4027-84fc-9948ca92c91f}" startIndex="0" length="17"/>
    </x18tc:mentions>
  </x18tc:threadedComment>
  <x18tc:threadedComment ref="G50" dT="2025-10-29T08:42:20.00" personId="{d273fb70-b56e-4105-b0b8-089baae0bdbe}" id="{6b546b0a-827c-4717-a94c-037ce224efc6}" done="1">
    <x18tc:text xml:space="preserve">@sugimoto.n@drjoy.jp さん
チケット済みでしょうか・・？
sugimoto.n@drjoy.jp さんに割り当てました</x18tc:text>
    <x18tc:mentions>
      <x18tc:mention mentionpersonId="{b0c4d5a9-0dcf-477f-aba9-35502df756cd}" mentionId="{6ce8c067-84a7-46b1-9fd8-00a544809589}" startIndex="0" length="20"/>
    </x18tc:mentions>
  </x18tc:threadedComment>
  <x18tc:threadedComment ref="G75" dT="2026-03-09T08:24:15.00" personId="{d273fb70-b56e-4105-b0b8-089baae0bdbe}" id="{64060740-4cdb-49f5-8da9-84b2ffde4a0a}" done="0">
    <x18tc:text xml:space="preserve">@sugimoto.n@drjoy.jp さん
チケット起票お願いします・・！！
sugimoto.n@drjoy.jp さんに割り当てました</x18tc:text>
    <x18tc:mentions>
      <x18tc:mention mentionpersonId="{b0c4d5a9-0dcf-477f-aba9-35502df756cd}" mentionId="{f274559a-fade-4f99-852f-6f6fc139b517}" startIndex="0" length="20"/>
    </x18tc:mentions>
  </x18tc:threadedComment>
  <x18tc:threadedComment ref="L66" dT="2026-01-08T08:11:58.00" personId="{63c4c9f1-079e-4832-8cb2-def58d27f03a}" id="{c4dba7eb-1502-4818-a1e9-cb8bf46de279}" done="1">
    <x18tc:text xml:space="preserve">@inoue.t@drjoy.jp 
他のタスクもありますので、もしお急ぎでなければ対応チケットを作成し、今週の土曜日に検証を行う予定ですが、いかがでしょうか。
今週の土曜日(10日)ベトナムの通常出勤日になります。
inoue.t@drjoy.jp さんに割り当てました</x18tc:text>
    <x18tc:mentions>
      <x18tc:mention mentionpersonId="{0df47a6c-519a-480c-ad09-229696e747ca}" mentionId="{bdb55283-84fb-43ef-8f6e-006120b6b613}" startIndex="0" length="17"/>
    </x18tc:mentions>
  </x18tc:threadedComment>
  <x18tc:threadedComment ref="L66" dT="2026-01-08T09:55:16.00" personId="{d273fb70-b56e-4105-b0b8-089baae0bdbe}" id="{040e8ac2-1ec1-4bd7-a676-fb55c8133dc7}" parentId="{c4dba7eb-1502-4818-a1e9-cb8bf46de279}">
    <x18tc:text xml:space="preserve">@thanh.pham@drjoy.vn さん
大丈夫です！！！
1/10に対応お願いします！結果は月曜日に教えてください！
合計リアクション数: 1 件
ハルThanh さんが 2026-01-08 10:23 AMに 👍 でリアクションしました
thanh.pham@drjoy.vn さんに再割り当てしました</x18tc:text>
    <x18tc:mentions>
      <x18tc:mention mentionpersonId="{53457860-d2fc-46bd-9d58-7d29f5139ceb}" mentionId="{314255d5-89f1-4c5d-885d-42ba9aecd999}" startIndex="0" length="20"/>
    </x18tc:mentions>
  </x18tc:threadedComment>
  <x18tc:threadedComment ref="C55" dT="2025-10-27T08:19:22.00" personId="{d273fb70-b56e-4105-b0b8-089baae0bdbe}" id="{17b050d3-50fe-4123-9f78-6c84368f714d}" done="1">
    <x18tc:text xml:space="preserve">@konishi.j@drjoy.jp さん
煮詰めてください。
konishi.j@drjoy.jp さんに割り当てました</x18tc:text>
    <x18tc:mentions>
      <x18tc:mention mentionpersonId="{3f0d6f8f-14ee-4d43-a7a8-b200168d7277}" mentionId="{057a99d7-d446-4313-9870-23b8ae52b7b7}" startIndex="0" length="19"/>
    </x18tc:mentions>
  </x18tc:threadedComment>
  <x18tc:threadedComment ref="O62" dT="2025-12-05T08:27:18.00" personId="{d273fb70-b56e-4105-b0b8-089baae0bdbe}" id="{1cc7ba62-e46c-48ea-9786-40e35e6f1a72}" done="0">
    <x18tc:text xml:space="preserve">@okawara.h@drjoy.jp さん
これ、捜索お願いします！
okawara.h@drjoy.jp さんに割り当てました</x18tc:text>
    <x18tc:mentions>
      <x18tc:mention mentionpersonId="{bf2b4968-792d-4549-8a5d-4b4bd1719a30}" mentionId="{accdb423-1f1a-4171-9673-f3b35b6b3d70}" startIndex="0" length="19"/>
    </x18tc:mentions>
  </x18tc:threadedComment>
  <x18tc:threadedComment ref="O62" dT="2025-12-05T09:12:54.00" personId="{71bafd29-c835-4306-bd1b-e26389c5db0a}" id="{54ff8eb9-399d-4c22-855b-f79d5947e219}" parentId="{1cc7ba62-e46c-48ea-9786-40e35e6f1a72}">
    <x18tc:text xml:space="preserve">@inoue.t@drjoy.jp 真生会富山病院のフロー資料、シナリオ名記入済み。
残り：兵庫県予防医学協会のフロー（導入未確定）</x18tc:text>
    <x18tc:mentions>
      <x18tc:mention mentionpersonId="{0df47a6c-519a-480c-ad09-229696e747ca}" mentionId="{e9424187-788b-42d7-943f-11e070351bc5}" startIndex="0" length="17"/>
    </x18tc:mentions>
  </x18tc:threadedComment>
  <x18tc:threadedComment ref="H13" dT="2025-08-06T03:08:50.00" personId="{83b1e525-7c08-4ac6-a963-bc89b7262567}" id="{e03f1389-07bc-4e89-905d-5679bf0c24b5}" done="0">
    <x18tc:text xml:space="preserve">6のフローが確定してからの着手データの持ち方</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3" dT="2026-03-03T04:28:00.00" personId="{884fb43d-ed22-49d6-8fc7-95eabd22f6eb}" id="{947edc4a-708f-480b-96d3-1903b48e2259}" done="1">
    <x18tc:text xml:space="preserve">@tuan.nguyen4@drjoy.vn 
Anh update trạng thái task deploy này giúp em nhé
tuan.nguyen4@drjoy.vn さんに割り当てました</x18tc:text>
    <x18tc:mentions>
      <x18tc:mention mentionpersonId="{ff14f1e9-44e2-4076-b1e4-5f2814782507}" mentionId="{39053ec5-6c40-4978-9730-d1353a6a0fcc}" startIndex="0" length="22"/>
    </x18tc:mentions>
  </x18tc:threadedComment>
  <x18tc:threadedComment ref="D8" dT="2026-02-25T09:22:42.00" personId="{a859858d-3a90-4c5f-9790-9e688c75d6ee}" id="{c1342dd0-f67f-4ce9-905a-3f8ed8064a3e}" done="1">
    <x18tc:text xml:space="preserve">Mất thời gian để xử lý (tham chiếu toàn bộ ivr properties của main flow). Không xử lý được.</x18tc:text>
  </x18tc:threadedComment>
  <x18tc:threadedComment ref="D9" dT="2026-02-24T08:08:48.00" personId="{a859858d-3a90-4c5f-9790-9e688c75d6ee}" id="{bea96989-3ec2-4d4b-80b1-4e81fc72541c}" done="1">
    <x18tc:text xml:space="preserve">260224時点で現状はこのままです！</x18tc:text>
  </x18tc:threadedComment>
  <x18tc:threadedComment ref="D12" dT="2026-02-26T01:56:14.00" personId="{a859858d-3a90-4c5f-9790-9e688c75d6ee}" id="{05cce97a-5437-42fb-937d-36a72420ecce}" done="1">
    <x18tc:text xml:space="preserve">挙動について問題ありませんが、タイムラグが発生しています。</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1" dT="2025-10-24T08:40:51.00" personId="{d273fb70-b56e-4105-b0b8-089baae0bdbe}" id="{187f484e-a96b-4157-be0b-089879b904c0}" done="1">
    <x18tc:text xml:space="preserve">@thanh.pham@drjoy.vn さん
Call ID、取れるようになったのですが、通話一覧画面に表示されません・・＞＜
thanh.pham@drjoy.vn さんに割り当てました</x18tc:text>
    <x18tc:mentions>
      <x18tc:mention mentionpersonId="{53457860-d2fc-46bd-9d58-7d29f5139ceb}" mentionId="{12ae70b9-da3c-4868-9f4d-bf185656b8ee}" startIndex="0" length="20"/>
    </x18tc:mentions>
  </x18tc:threadedComment>
  <x18tc:threadedComment ref="E31" dT="2025-10-27T07:03:45.00" personId="{63c4c9f1-079e-4832-8cb2-def58d27f03a}" id="{997e885d-ef94-4d21-828b-45ebe2b7a7fe}" parentId="{187f484e-a96b-4157-be0b-089879b904c0}">
    <x18tc:text xml:space="preserve">@inoue.t@drjoy.jp 
開発者と確認したところ、saveContextModel2DBモジュールにCallIDが定義されていますが、save2dbで取得できる項目ではないので、データベースに保存するとき、contextFieldsのCallIDが「null」になっています。
詳細画面はコンテキスト設定ではなく、ソースコードに事前に登録されてcallIdから取得して、表示しています。
修正方法としては、コンテキスト設定の通話ID項目を削除してから、一覧にも表示できました。
今後コンテキスト設定に通話ID項目があっても、一覧に表示できるように、処理ロジックを修正いたします。
inoue.t@drjoy.jp さんに再割り当てしました</x18tc:text>
    <x18tc:mentions>
      <x18tc:mention mentionpersonId="{0df47a6c-519a-480c-ad09-229696e747ca}" mentionId="{82a1a7bc-a341-4d4a-a321-4c74499ebf97}" startIndex="0" length="17"/>
    </x18tc:mentions>
  </x18tc:threadedComment>
  <x18tc:threadedComment ref="F25" dT="2025-09-11T08:55:14.00" personId="{d273fb70-b56e-4105-b0b8-089baae0bdbe}" id="{a72f654f-2cf1-4e0a-b225-aa5312a4a1ce}" done="1">
    <x18tc:text xml:space="preserve">@thanh.pham@drjoy.vn さん
あってました！！！！
---
String getMyNumber()
Description: Get phone number that is used for current call
Return: The user’s phone number
---
thanh.pham@drjoy.vn さんに割り当てました</x18tc:text>
    <x18tc:mentions>
      <x18tc:mention mentionpersonId="{53457860-d2fc-46bd-9d58-7d29f5139ceb}" mentionId="{39455a29-92b3-4914-ac35-3fffa8c1accf}" startIndex="0" length="20"/>
    </x18tc:mentions>
  </x18tc:threadedComment>
  <x18tc:threadedComment ref="F25" dT="2025-09-11T08:57:29.00" personId="{63c4c9f1-079e-4832-8cb2-def58d27f03a}" id="{eca01cab-b2df-4791-b7bf-cd83a4cb5e08}" parentId="{a72f654f-2cf1-4e0a-b225-aa5312a4a1ce}">
    <x18tc:text xml:space="preserve">@井上さん
ありがとうございます。
確認いたします。</x18tc:text>
  </x18tc:threadedComment>
  <x18tc:threadedComment ref="F25" dT="2025-09-11T09:11:24.00" personId="{63c4c9f1-079e-4832-8cb2-def58d27f03a}" id="{4832eac1-b90c-4856-8a1e-b77534f93494}" parentId="{a72f654f-2cf1-4e0a-b225-aa5312a4a1ce}">
    <x18tc:text xml:space="preserve">@井上さん
ご確認お願いいたします。</x18tc:text>
  </x18tc:threadedComment>
  <x18tc:threadedComment ref="F25" dT="2025-09-11T10:30:36.00" personId="{d273fb70-b56e-4105-b0b8-089baae0bdbe}" id="{c3c26bb0-bfaa-47ba-a921-d0c35a2856f0}" parentId="{a72f654f-2cf1-4e0a-b225-aa5312a4a1ce}">
    <x18tc:text xml:space="preserve">@thanh.pham@drjoy.vn さん
【ご依頼】Brekeke BPXの契約書送付_Dr.JOY
メールにてブレケケへ確認入れました！</x18tc:text>
    <x18tc:mentions>
      <x18tc:mention mentionpersonId="{53457860-d2fc-46bd-9d58-7d29f5139ceb}" mentionId="{3bb8b87b-19b1-4e8a-90d9-c5eb1ed277c1}" startIndex="0" length="20"/>
    </x18tc:mentions>
  </x18tc:threadedComment>
  <x18tc:threadedComment ref="F25" dT="2025-09-11T12:18:57.00" personId="{d273fb70-b56e-4105-b0b8-089baae0bdbe}" id="{3bf12757-d1b5-41ea-9283-0399433ca392}" parentId="{a72f654f-2cf1-4e0a-b225-aa5312a4a1ce}">
    <x18tc:text xml:space="preserve">thanh.pham@drjoy.vn
ブレケケから回答来ました！
着信先の外線番号を取得するためには、「AI電話」のフローにある「入電番号確認」のモジュール内にある
$ivr.getPbxRoomParam("incoming")
で取得できます。
仕組みの詳細は講習会で説明しますが、
ARS-INのデプロイパターンCustomに&amp;incoming=xxxxxxを設定することにより、内部的にincomingという変数に着信先番号を設定しています。
フローでは、この変数の値を取得することによって、着信先番号を特定することができます。さん</x18tc:text>
  </x18tc:threadedComment>
  <x18tc:threadedComment ref="F25" dT="2025-09-16T05:43:38.00" personId="{d273fb70-b56e-4105-b0b8-089baae0bdbe}" id="{5159bb5d-c31d-41be-a455-4d0aa21e912f}" parentId="{a72f654f-2cf1-4e0a-b225-aa5312a4a1ce}">
    <x18tc:text xml:space="preserve">@thanh.pham@drjoy.vn さん
更新しました！確認して問題なければ、コメントをresolvedにお願いします！</x18tc:text>
    <x18tc:mentions>
      <x18tc:mention mentionpersonId="{53457860-d2fc-46bd-9d58-7d29f5139ceb}" mentionId="{dc6041b8-5b5a-425c-8f5f-3906d13f0475}" startIndex="0" length="20"/>
    </x18tc:mentions>
  </x18tc:threadedComment>
  <x18tc:threadedComment ref="F25" dT="2025-09-16T06:51:06.00" personId="{63c4c9f1-079e-4832-8cb2-def58d27f03a}" id="{e670c4ed-ab38-4e9d-888a-5ceed20f84ac}" parentId="{a72f654f-2cf1-4e0a-b225-aa5312a4a1ce}">
    <x18tc:text xml:space="preserve">完了マークを付けました</x18tc:text>
  </x18tc:threadedComment>
  <x18tc:threadedComment ref="F25" dT="2025-09-16T06:51:28.00" personId="{63c4c9f1-079e-4832-8cb2-def58d27f03a}" id="{a66e1fdc-f214-4d9b-bcfb-f512fb7efdd3}" parentId="{a72f654f-2cf1-4e0a-b225-aa5312a4a1ce}">
    <x18tc:text xml:space="preserve">resolvedに変更しました。
再開しました</x18tc:text>
  </x18tc:threadedComment>
  <x18tc:threadedComment ref="F27" dT="2025-09-29T09:29:29.00" personId="{63c4c9f1-079e-4832-8cb2-def58d27f03a}" id="{3f1576e0-b15d-4b73-a122-dbae63389549}" done="0">
    <x18tc:text xml:space="preserve">@inoue.t@drjoy.jp さん
@sugimoto.n@drjoy.jp さん
転送待ち時間とは転送を開始するまでに待たされる時間という認識であっていますか。
inoue.t@drjoy.jp さんに割り当てました</x18tc:text>
    <x18tc:mentions>
      <x18tc:mention mentionpersonId="{0df47a6c-519a-480c-ad09-229696e747ca}" mentionId="{dc5b5e61-2902-4169-be3c-c2f20f0c785b}" startIndex="0" length="17"/>
      <x18tc:mention mentionpersonId="{b0c4d5a9-0dcf-477f-aba9-35502df756cd}" mentionId="{1e1a3aa7-976c-4f80-9461-e997d2053395}" startIndex="21" length="20"/>
    </x18tc:mentions>
  </x18tc:threadedComment>
  <x18tc:threadedComment ref="F27" dT="2025-09-29T09:30:34.00" personId="{d273fb70-b56e-4105-b0b8-089baae0bdbe}" id="{486c712d-a67a-4850-90f1-9bb19f782ec7}" parentId="{3f1576e0-b15d-4b73-a122-dbae63389549}">
    <x18tc:text xml:space="preserve">はい！認識合ってます。
転送の呼び出し時間と言い換えたら良いでしょうか。
合計リアクション数: 1 件
ハルThanh さんが 2025-09-29 09:37 AMに 👍 でリアクションしました</x18tc:text>
  </x18tc:threadedComment>
  <x18tc:threadedComment ref="F27" dT="2025-09-29T09:37:34.00" personId="{63c4c9f1-079e-4832-8cb2-def58d27f03a}" id="{607bd74c-1742-4de9-8d39-4edd3f818cb1}" parentId="{3f1576e0-b15d-4b73-a122-dbae63389549}">
    <x18tc:text xml:space="preserve">@inoue.t@drjoy.jp さん
ありがとうございます。
BrekekeのCall TransferモジュールにはTime outがありますが、同じものではないでしょうか。</x18tc:text>
    <x18tc:mentions>
      <x18tc:mention mentionpersonId="{0df47a6c-519a-480c-ad09-229696e747ca}" mentionId="{fa561de4-2a3b-4ac4-ad86-8239f007108b}" startIndex="0" length="17"/>
    </x18tc:mentions>
  </x18tc:threadedComment>
  <x18tc:threadedComment ref="F27" dT="2025-09-29T09:40:34.00" personId="{d273fb70-b56e-4105-b0b8-089baae0bdbe}" id="{bbcb9048-54b5-4751-a7d3-77cc016800bf}" parentId="{3f1576e0-b15d-4b73-a122-dbae63389549}">
    <x18tc:text xml:space="preserve">指定時間経過しても、転送先に繋がらなかったらtime out＝転送失敗
という結果と同じ意味と捉えてよければ同じかな。、
と思うのですが、意味合いが違いますかね。。
ちょっとtransferの標準モジュール見てみます！
合計リアクション数: 1 件
ハルThanh さんが 2025-09-29 09:43 AMに 👍 でリアクションしました</x18tc:text>
  </x18tc:threadedComment>
  <x18tc:threadedComment ref="F27" dT="2025-09-29T09:54:07.00" personId="{63c4c9f1-079e-4832-8cb2-def58d27f03a}" id="{ca612221-6610-411d-b8df-beb1fa74a79b}" parentId="{3f1576e0-b15d-4b73-a122-dbae63389549}">
    <x18tc:text xml:space="preserve">@inoue.t@drjoy.jp さん
はい、ご確認お願いします。
標準モジュールのtime outと同じものでしたら、そのまま使用しますね。</x18tc:text>
    <x18tc:mentions>
      <x18tc:mention mentionpersonId="{0df47a6c-519a-480c-ad09-229696e747ca}" mentionId="{6d3ce28b-bcdc-457a-a0b5-471810909b2d}" startIndex="0" length="17"/>
    </x18tc:mentions>
  </x18tc:threadedComment>
  <x18tc:threadedComment ref="F27" dT="2025-09-29T14:29:36.00" personId="{d273fb70-b56e-4105-b0b8-089baae0bdbe}" id="{d765c731-5c3c-4c61-a8f6-ec19af41bb03}" parentId="{3f1576e0-b15d-4b73-a122-dbae63389549}">
    <x18tc:text xml:space="preserve">@thanh.pham@drjoy.vn さん
timuout = 転送先につながることを待つ最大時間ですね！
なので、認識相違ないと思います！！
thanh.pham@drjoy.vn さんに再割り当てしました</x18tc:text>
    <x18tc:mentions>
      <x18tc:mention mentionpersonId="{53457860-d2fc-46bd-9d58-7d29f5139ceb}" mentionId="{ecfe50ac-e2ea-466b-bebf-f3e6f3994590}" startIndex="0" length="20"/>
    </x18tc:mentions>
  </x18tc:threadedComment>
  <x18tc:threadedComment ref="F31" dT="2025-10-21T10:48:26.00" personId="{63c4c9f1-079e-4832-8cb2-def58d27f03a}" id="{eebf0836-f7a8-4fff-a372-b8b5140c6560}" done="1">
    <x18tc:text xml:space="preserve">@inoue.t@drjoy.jp
inoue.t@drjoy.jp さんに割り当てました</x18tc:text>
    <x18tc:mentions>
      <x18tc:mention mentionpersonId="{0df47a6c-519a-480c-ad09-229696e747ca}" mentionId="{365fa07e-6ecf-4835-8402-2329f5f1c14c}" startIndex="0" length="17"/>
    </x18tc:mentions>
  </x18tc:threadedComment>
  <x18tc:threadedComment ref="D26" dT="2025-09-17T08:27:10.00" personId="{d273fb70-b56e-4105-b0b8-089baae0bdbe}" id="{84ecb982-aafc-421a-b62e-ad7aa11b5539}" done="0">
    <x18tc:text xml:space="preserve">@thanh.pham@drjoy.vn さん
・発生日時
・発信元
・発信先（ARS / IVR内線番号 / フロー名）
教えてください！！！
thanh.pham@drjoy.vn さんに割り当てました</x18tc:text>
    <x18tc:mentions>
      <x18tc:mention mentionpersonId="{53457860-d2fc-46bd-9d58-7d29f5139ceb}" mentionId="{10c418d3-fce0-487e-9dd1-00114f9f2587}" startIndex="0" length="20"/>
    </x18tc:mentions>
  </x18tc:threadedComment>
  <x18tc:threadedComment ref="D26" dT="2025-09-17T08:48:39.00" personId="{63c4c9f1-079e-4832-8cb2-def58d27f03a}" id="{6268976e-3b7c-4048-8e5c-b32f4fe320b7}" parentId="{84ecb982-aafc-421a-b62e-ad7aa11b5539}">
    <x18tc:text xml:space="preserve">＠井上さん
ハング不具合が発生したレコードの詳細情報を共有させていただきます。
・事象: あるノードで通話が停止し、次のノードに進めず無音が続きました。
・発生日時: 2025年09月17日 16:46
・発信元: 05017066071
・発信先:
ARS: 05055781766
IVR内線番号: 08052025
フロー名: DrJOY - DrJoy- Oanh_context</x18tc:text>
  </x18tc:threadedComment>
  <x18tc:threadedComment ref="D26" dT="2025-09-17T10:08:54.00" personId="{d273fb70-b56e-4105-b0b8-089baae0bdbe}" id="{325ecabd-312f-4b37-bd5f-365ec8a1d4b9}" parentId="{84ecb982-aafc-421a-b62e-ad7aa11b5539}">
    <x18tc:text xml:space="preserve">ありがとうございます！
メール出しました！！
【ご依頼】システムハングの調査をお願いできますでしょうか。</x18tc:text>
  </x18tc:threadedComment>
  <x18tc:threadedComment ref="D26" dT="2025-09-17T10:16:13.00" personId="{63c4c9f1-079e-4832-8cb2-def58d27f03a}" id="{a5fb96b0-cb64-4df8-b173-ea2cbe533825}" parentId="{84ecb982-aafc-421a-b62e-ad7aa11b5539}">
    <x18tc:text xml:space="preserve">@inoue.t@drjoy.jp さん
 ありがとうございます。
助かります。</x18tc:text>
    <x18tc:mentions>
      <x18tc:mention mentionpersonId="{0df47a6c-519a-480c-ad09-229696e747ca}" mentionId="{56655149-0e7b-45a5-9ce1-e31e85516bed}" startIndex="0" length="17"/>
    </x18tc:mentions>
  </x18tc:threadedComment>
  <x18tc:threadedComment ref="E32" dT="2025-10-24T08:40:22.00" personId="{d273fb70-b56e-4105-b0b8-089baae0bdbe}" id="{a95f4a75-935a-4dee-afa3-e1c24bfc2d15}" done="0">
    <x18tc:text xml:space="preserve">@thanh.pham@drjoy.vn さん
先ほどの会でお伝えしたログです！
thanh.pham@drjoy.vn さんに割り当てました</x18tc:text>
    <x18tc:mentions>
      <x18tc:mention mentionpersonId="{53457860-d2fc-46bd-9d58-7d29f5139ceb}" mentionId="{59b2a3f6-d3e2-42ba-a3d7-aa24511482cc}" startIndex="0" length="20"/>
    </x18tc:mentions>
  </x18tc:threadedComment>
  <x18tc:threadedComment ref="E32" dT="2025-10-27T07:06:36.00" personId="{63c4c9f1-079e-4832-8cb2-def58d27f03a}" id="{3815b380-3b6e-4eea-95be-134f4c587b7e}" parentId="{a95f4a75-935a-4dee-afa3-e1c24bfc2d15}">
    <x18tc:text xml:space="preserve">@inoue.t@drjoy.jp 
おそらく反映できる時点は「通話ID」がsyscallidになって、callidと認識されなかったからです。
inoue.t@drjoy.jp さんに再割り当てしました</x18tc:text>
    <x18tc:mentions>
      <x18tc:mention mentionpersonId="{0df47a6c-519a-480c-ad09-229696e747ca}" mentionId="{7e30a22a-f251-4e74-991d-6435fbd57826}" startIndex="0" length="17"/>
    </x18tc:mentions>
  </x18tc:threadedComment>
  <x18tc:threadedComment ref="E32" dT="2025-10-27T07:09:19.00" personId="{63c4c9f1-079e-4832-8cb2-def58d27f03a}" id="{1b4e4f7e-5798-40a4-a514-c80660debae1}" parentId="{a95f4a75-935a-4dee-afa3-e1c24bfc2d15}">
    <x18tc:text xml:space="preserve">@inoue.t@drjoy.jp 
上記の件とは関係ないのですが、コンテキストを設定するとき、以下のツールでjsonフォーマットが正しいかどうか確認できますので。ご利用ください。
https://jsonlint.com/</x18tc:text>
    <x18tc:mentions>
      <x18tc:mention mentionpersonId="{0df47a6c-519a-480c-ad09-229696e747ca}" mentionId="{db4f580c-5cc9-410e-9397-7c2191688c38}" startIndex="0" length="17"/>
    </x18tc:mentions>
    <x18tc:extLst>
      <ext uri="{F7C98A9C-CBB3-438F-8F68-D28B6AF4A901}">
        <xltc2:checksum/>
        <xltc2:hyperlink startIndex="91" length="21" url="https://jsonlint.com/"/>
      </ext>
    </x18tc:extLst>
  </x18tc:threadedComment>
  <x18tc:threadedComment ref="D29" dT="2025-10-03T09:55:40.00" personId="{63c4c9f1-079e-4832-8cb2-def58d27f03a}" id="{838afa6f-7423-4516-9bcd-7e2c38acde31}" done="1">
    <x18tc:text xml:space="preserve">@inoue.t@drjoy.jp 
CC @sugimoto.n@drjoy.jp 
現象を記載しました。
Brekeke側にご確認お願いいたします。
inoue.t@drjoy.jp さんに割り当てました</x18tc:text>
    <x18tc:mentions>
      <x18tc:mention mentionpersonId="{0df47a6c-519a-480c-ad09-229696e747ca}" mentionId="{0bd3412b-98ad-484a-934d-64a5e4e18ee5}" startIndex="0" length="17"/>
      <x18tc:mention mentionpersonId="{b0c4d5a9-0dcf-477f-aba9-35502df756cd}" mentionId="{64fe0991-aa6d-4d31-8bf1-065fd3c10f37}" startIndex="22" length="20"/>
    </x18tc:mentions>
  </x18tc:threadedComment>
  <x18tc:threadedComment ref="D29" dT="2025-10-03T11:23:16.00" personId="{d273fb70-b56e-4105-b0b8-089baae0bdbe}" id="{165f3868-ea6b-406f-aff9-fe335f4db932}" parentId="{838afa6f-7423-4516-9bcd-7e2c38acde31}">
    <x18tc:text xml:space="preserve">ありがとうございますーー！
完了マークを付けました</x18tc:text>
  </x18tc:threadedComment>
  <x18tc:threadedComment ref="D31" dT="2025-10-21T10:28:42.00" personId="{d273fb70-b56e-4105-b0b8-089baae0bdbe}" id="{5ed039c2-cb99-4690-90d6-f5221f1b0ce2}" done="1">
    <x18tc:text xml:space="preserve">@thanh.pham@drjoy.vn さん
これお願いします！！
thanh.pham@drjoy.vn さんに割り当てました</x18tc:text>
    <x18tc:mentions>
      <x18tc:mention mentionpersonId="{53457860-d2fc-46bd-9d58-7d29f5139ceb}" mentionId="{07a37ef9-4df3-4625-945a-e18326068f6b}" startIndex="0" length="20"/>
    </x18tc:mentions>
  </x18tc:threadedComment>
  <x18tc:threadedComment ref="F29" dT="2025-10-06T01:00:50.00" personId="{d273fb70-b56e-4105-b0b8-089baae0bdbe}" id="{ee73d46b-ec99-4099-a859-0667755e3e6a}" done="0">
    <x18tc:text xml:space="preserve">@thanh.pham@drjoy.vn さん
@sumi.k@drjoy.jp さん
使用メモリ削減は、すぐすぐは難しいと思うので今後・・として。
ヒープメモリ（すみません初めて聞いた単語です）の増設は可能でしょうか。コスト等々に変化がある場合は、酒井さん相談をしたく。
sumi.k@drjoy.jp さんに割り当てました</x18tc:text>
    <x18tc:mentions>
      <x18tc:mention mentionpersonId="{53457860-d2fc-46bd-9d58-7d29f5139ceb}" mentionId="{8a9282ba-14d2-475f-a8bb-e6498c8c3b84}" startIndex="0" length="20"/>
      <x18tc:mention mentionpersonId="{53ce439c-7651-4585-a1be-e7f913d268ae}" mentionId="{2da2bdaf-446e-4a5f-9938-4cbbf589f4d4}" startIndex="24" length="16"/>
    </x18tc:mentions>
  </x18tc:threadedComment>
  <x18tc:threadedComment ref="F29" dT="2025-10-06T08:30:31.00" personId="{d273fb70-b56e-4105-b0b8-089baae0bdbe}" id="{f4c29e2f-b364-4e46-ab63-0be1718b887a}" parentId="{ee73d46b-ec99-4099-a859-0667755e3e6a}">
    <x18tc:text xml:space="preserve">@thanh.pham@drjoy.vn さん
先ほど会話しましたが、これ対応お願いします！
合計リアクション数: 1 件
ハルThanh さんが 2025-10-06 08:43 AMに 👍 でリアクションしました
thanh.pham@drjoy.vn さんに再割り当てしました</x18tc:text>
    <x18tc:mentions>
      <x18tc:mention mentionpersonId="{53457860-d2fc-46bd-9d58-7d29f5139ceb}" mentionId="{1fc3c6b2-ca4a-4152-aaba-5ee426db2811}" startIndex="0" length="20"/>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3" dT="2025-09-23T10:43:24.00" personId="{d273fb70-b56e-4105-b0b8-089baae0bdbe}" id="{8c70281d-6a81-4ef0-b053-755a269e0274}" done="0">
    <x18tc:text xml:space="preserve">本番環境</x18tc:text>
  </x18tc:threadedComment>
  <x18tc:threadedComment ref="O14" dT="2025-09-23T10:47:43.00" personId="{d273fb70-b56e-4105-b0b8-089baae0bdbe}" id="{57e6cc1b-a5c2-42e3-a6a8-06757eb86d4f}" done="0">
    <x18tc:text xml:space="preserve">開発環境</x18tc:text>
  </x18tc:threadedComment>
  <x18tc:threadedComment ref="P14" dT="2025-09-23T10:47:52.00" personId="{d273fb70-b56e-4105-b0b8-089baae0bdbe}" id="{5973a5c0-36e7-4dfe-be83-491df8f67225}" done="0">
    <x18tc:text xml:space="preserve">検証(demo)環境</x18tc:text>
  </x18tc:threadedComment>
  <x18tc:threadedComment ref="Q14" dT="2025-09-23T10:48:00.00" personId="{d273fb70-b56e-4105-b0b8-089baae0bdbe}" id="{7f456eba-73e5-474a-b6fe-b8d045804f6d}" done="0">
    <x18tc:text xml:space="preserve">本番環境</x18tc:text>
  </x18tc:threadedComment>
  <x18tc:threadedComment ref="O3" dT="2025-09-23T10:43:08.00" personId="{d273fb70-b56e-4105-b0b8-089baae0bdbe}" id="{fd6a875a-76b7-4187-8190-ddc1dfd88501}" done="0">
    <x18tc:text xml:space="preserve">開発環境</x18tc:text>
  </x18tc:threadedComment>
  <x18tc:threadedComment ref="N4" dT="2025-09-23T10:50:53.00" personId="{d273fb70-b56e-4105-b0b8-089baae0bdbe}" id="{72ade5cc-b12d-4cea-a179-74a3b771453c}" done="0">
    <x18tc:text xml:space="preserve">1. モジュールで選択した言語
2. 図1のIVR設定のプロパティ
3. 図1のIVR設定の言語</x18tc:text>
  </x18tc:threadedComment>
  <x18tc:threadedComment ref="P3" dT="2025-09-23T10:43:16.00" personId="{d273fb70-b56e-4105-b0b8-089baae0bdbe}" id="{3d3d27d9-58a5-41fe-9328-b0a61dc2c839}" done="0">
    <x18tc:text xml:space="preserve">検証(demo)環境</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r1DwsmWedTnBhSoqWHD1Lb5G59ZlUvOCEOtHgI-rnKI/edit?gid=238842802"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ocs.google.com/spreadsheets/d/1r1DwsmWedTnBhSoqWHD1Lb5G59ZlUvOCEOtHgI-rnKI/edit?gid=238842802" TargetMode="External"/><Relationship Id="rId5" Type="http://schemas.openxmlformats.org/officeDocument/2006/relationships/hyperlink" Target="https://docs.google.com/spreadsheets/d/1r1DwsmWedTnBhSoqWHD1Lb5G59ZlUvOCEOtHgI-rnKI/edit?gid=238842802" TargetMode="External"/><Relationship Id="rId6" Type="http://schemas.openxmlformats.org/officeDocument/2006/relationships/hyperlink" Target="https://docs.google.com/spreadsheets/d/1r1DwsmWedTnBhSoqWHD1Lb5G59ZlUvOCEOtHgI-rnKI/edit?gid=238842802" TargetMode="External"/><Relationship Id="rId7" Type="http://schemas.openxmlformats.org/officeDocument/2006/relationships/hyperlink" Target="https://docs.google.com/spreadsheets/d/1r1DwsmWedTnBhSoqWHD1Lb5G59ZlUvOCEOtHgI-rnKI/edit?gid=238842802" TargetMode="External"/><Relationship Id="rId8" Type="http://schemas.openxmlformats.org/officeDocument/2006/relationships/hyperlink" Target="https://docs.google.com/spreadsheets/d/1r1DwsmWedTnBhSoqWHD1Lb5G59ZlUvOCEOtHgI-rnKI/edit?gid=23884280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gofile.me/3B4nF/l0S8Lhmck" TargetMode="External"/><Relationship Id="rId2" Type="http://schemas.openxmlformats.org/officeDocument/2006/relationships/hyperlink" Target="http://gofile.me/3B4nF/Y2AuRPZxN" TargetMode="External"/><Relationship Id="rId3" Type="http://schemas.openxmlformats.org/officeDocument/2006/relationships/hyperlink" Target="http://gofile.me/3B4nF/zkZygNrnb" TargetMode="External"/><Relationship Id="rId4" Type="http://schemas.openxmlformats.org/officeDocument/2006/relationships/hyperlink" Target="http://gofile.me/3B4nF/VVMeNXfCL" TargetMode="External"/><Relationship Id="rId5" Type="http://schemas.openxmlformats.org/officeDocument/2006/relationships/hyperlink" Target="http://gofile.me/3B4nF/gvRioOFiQ" TargetMode="External"/><Relationship Id="rId6" Type="http://schemas.openxmlformats.org/officeDocument/2006/relationships/hyperlink" Target="https://docs.google.com/presentation/d/1wMPd8ioh69DhBGCsHwnLCvv57nONKZN7Ujcjg-CvrGc/edit?slide=id.p"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S3c2QAL_1tTKBEHhSePXXuaGMkKvRKKc/view?usp=sharing" TargetMode="External"/><Relationship Id="rId9" Type="http://schemas.openxmlformats.org/officeDocument/2006/relationships/table" Target="../tables/table1.xml"/><Relationship Id="rId5" Type="http://schemas.openxmlformats.org/officeDocument/2006/relationships/hyperlink" Target="https://docs.google.com/spreadsheets/d/1rZxpHYayOriiFAWmqAHUemKQ0leCEtHUxXOHBtU8l_A/edit?gid=283878249" TargetMode="External"/><Relationship Id="rId6" Type="http://schemas.openxmlformats.org/officeDocument/2006/relationships/drawing" Target="../drawings/drawing3.xml"/><Relationship Id="rId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40" Type="http://schemas.openxmlformats.org/officeDocument/2006/relationships/hyperlink" Target="https://redmine.famishare.jp/issues/240224" TargetMode="External"/><Relationship Id="rId42" Type="http://schemas.openxmlformats.org/officeDocument/2006/relationships/hyperlink" Target="https://redmine.famishare.jp/issues/236905" TargetMode="External"/><Relationship Id="rId41" Type="http://schemas.openxmlformats.org/officeDocument/2006/relationships/hyperlink" Target="https://www.canva.com/design/DAGtxYoW46w/ZC5mquzRVVJw-a98McOlSw/edit" TargetMode="External"/><Relationship Id="rId44" Type="http://schemas.openxmlformats.org/officeDocument/2006/relationships/hyperlink" Target="https://app.drjoy.jp/gr/detail/-NF3LgXiaU4Ndlo-6pcc/-OgUrl2fBkoKdvjz1c80" TargetMode="External"/><Relationship Id="rId43" Type="http://schemas.openxmlformats.org/officeDocument/2006/relationships/hyperlink" Target="https://redmine.famishare.jp/issues/225901" TargetMode="External"/><Relationship Id="rId46" Type="http://schemas.openxmlformats.org/officeDocument/2006/relationships/hyperlink" Target="https://app.drjoy.jp/gr/copy?actionType=GR&amp;emergencySurveyFlag=true&amp;groupId=-Ns6Ts5KIPEeXQ0WGD8R&amp;articleId=-OiMxVC26NJMPlG9LIVn" TargetMode="External"/><Relationship Id="rId45" Type="http://schemas.openxmlformats.org/officeDocument/2006/relationships/hyperlink" Target="https://docs.google.com/spreadsheets/d/1rZxpHYayOriiFAWmqAHUemKQ0leCEtHUxXOHBtU8l_A/edit?gid=283878249"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redmine.famishare.jp/issues/206442" TargetMode="External"/><Relationship Id="rId9" Type="http://schemas.openxmlformats.org/officeDocument/2006/relationships/hyperlink" Target="https://redmine.famishare.jp/issues/206451" TargetMode="External"/><Relationship Id="rId48" Type="http://schemas.openxmlformats.org/officeDocument/2006/relationships/hyperlink" Target="https://docs.google.com/spreadsheets/d/1CSh4V7y4iP0KiIm2xPOgZ6Ri1Pn4OaR4cXNLbkb-tbA/edit?gid=1664234802" TargetMode="External"/><Relationship Id="rId47" Type="http://schemas.openxmlformats.org/officeDocument/2006/relationships/hyperlink" Target="https://redmine.famishare.jp/issues/241151" TargetMode="External"/><Relationship Id="rId49" Type="http://schemas.openxmlformats.org/officeDocument/2006/relationships/drawing" Target="../drawings/drawing5.xml"/><Relationship Id="rId5" Type="http://schemas.openxmlformats.org/officeDocument/2006/relationships/hyperlink" Target="https://redmine.famishare.jp/issues/206448" TargetMode="External"/><Relationship Id="rId6" Type="http://schemas.openxmlformats.org/officeDocument/2006/relationships/hyperlink" Target="https://redmine.famishare.jp/issues/206443" TargetMode="External"/><Relationship Id="rId7" Type="http://schemas.openxmlformats.org/officeDocument/2006/relationships/hyperlink" Target="https://redmine.famishare.jp/issues/206446" TargetMode="External"/><Relationship Id="rId8" Type="http://schemas.openxmlformats.org/officeDocument/2006/relationships/hyperlink" Target="https://redmine.famishare.jp/issues/206450" TargetMode="External"/><Relationship Id="rId31" Type="http://schemas.openxmlformats.org/officeDocument/2006/relationships/hyperlink" Target="https://redmine.famishare.jp/issues/218457" TargetMode="External"/><Relationship Id="rId30" Type="http://schemas.openxmlformats.org/officeDocument/2006/relationships/hyperlink" Target="https://redmine.famishare.jp/issues/218457" TargetMode="External"/><Relationship Id="rId33" Type="http://schemas.openxmlformats.org/officeDocument/2006/relationships/hyperlink" Target="https://redmine.famishare.jp/issues/220580" TargetMode="External"/><Relationship Id="rId32" Type="http://schemas.openxmlformats.org/officeDocument/2006/relationships/hyperlink" Target="https://redmine.famishare.jp/issues/228662" TargetMode="External"/><Relationship Id="rId35" Type="http://schemas.openxmlformats.org/officeDocument/2006/relationships/hyperlink" Target="https://redmine.famishare.jp/issues/218454" TargetMode="External"/><Relationship Id="rId34" Type="http://schemas.openxmlformats.org/officeDocument/2006/relationships/hyperlink" Target="https://redmine.famishare.jp/issues/227702" TargetMode="External"/><Relationship Id="rId37" Type="http://schemas.openxmlformats.org/officeDocument/2006/relationships/hyperlink" Target="https://redmine.famishare.jp/issues/223895" TargetMode="External"/><Relationship Id="rId36" Type="http://schemas.openxmlformats.org/officeDocument/2006/relationships/hyperlink" Target="https://redmine.famishare.jp/issues/222840" TargetMode="External"/><Relationship Id="rId39" Type="http://schemas.openxmlformats.org/officeDocument/2006/relationships/hyperlink" Target="https://redmine.famishare.jp/issues/225561" TargetMode="External"/><Relationship Id="rId38" Type="http://schemas.openxmlformats.org/officeDocument/2006/relationships/hyperlink" Target="https://redmine.famishare.jp/issues/224766" TargetMode="External"/><Relationship Id="rId20" Type="http://schemas.openxmlformats.org/officeDocument/2006/relationships/hyperlink" Target="https://docs.google.com/spreadsheets/d/1pC5Z4kdMvm-LUaQw7cGLHTTeT4qwC-YH/edit?gid=755744202" TargetMode="External"/><Relationship Id="rId22" Type="http://schemas.openxmlformats.org/officeDocument/2006/relationships/hyperlink" Target="https://platform.openai.com/assistants/edit?assistant=asst_zCmrlgBSO6X54XXakb2Ee1et&amp;thread=thread_tEQoUkyY60eDXLqYB9gmpj1G" TargetMode="External"/><Relationship Id="rId21" Type="http://schemas.openxmlformats.org/officeDocument/2006/relationships/hyperlink" Target="https://docs.google.com/presentation/d/1HPiywtqEU5FntCoQNVGGLmSSAC7JAL4lzzOJviNfJp0/edit?slide=id.g383cb365e03_0_2" TargetMode="External"/><Relationship Id="rId24" Type="http://schemas.openxmlformats.org/officeDocument/2006/relationships/hyperlink" Target="https://redmine.famishare.jp/issues/212757" TargetMode="External"/><Relationship Id="rId23" Type="http://schemas.openxmlformats.org/officeDocument/2006/relationships/hyperlink" Target="https://redmine.famishare.jp/issues/217874" TargetMode="External"/><Relationship Id="rId26" Type="http://schemas.openxmlformats.org/officeDocument/2006/relationships/hyperlink" Target="https://redmine.famishare.jp/issues/218558" TargetMode="External"/><Relationship Id="rId25" Type="http://schemas.openxmlformats.org/officeDocument/2006/relationships/hyperlink" Target="https://redmine.famishare.jp/issues/212950" TargetMode="External"/><Relationship Id="rId28" Type="http://schemas.openxmlformats.org/officeDocument/2006/relationships/hyperlink" Target="https://docs.google.com/presentation/d/1QAYN0ONceWglo2MoC-ZSjwi4e01-qLNz/edit?slide=id.p2" TargetMode="External"/><Relationship Id="rId27" Type="http://schemas.openxmlformats.org/officeDocument/2006/relationships/hyperlink" Target="https://redmine.famishare.jp/issues/217139" TargetMode="External"/><Relationship Id="rId29" Type="http://schemas.openxmlformats.org/officeDocument/2006/relationships/hyperlink" Target="https://redmine.famishare.jp/issues/223894" TargetMode="External"/><Relationship Id="rId50" Type="http://schemas.openxmlformats.org/officeDocument/2006/relationships/vmlDrawing" Target="../drawings/vmlDrawing3.vml"/><Relationship Id="rId53" Type="http://schemas.openxmlformats.org/officeDocument/2006/relationships/table" Target="../tables/table3.xml"/><Relationship Id="rId11" Type="http://schemas.openxmlformats.org/officeDocument/2006/relationships/hyperlink" Target="https://docs.google.com/spreadsheets/d/1QaJGyJ6gfkv0SQBaFz7KGzxwPw7D8iWNDOvGRcfu6N4/edit?gid=1224826303" TargetMode="External"/><Relationship Id="rId10" Type="http://schemas.openxmlformats.org/officeDocument/2006/relationships/hyperlink" Target="https://redmine.famishare.jp/issues/206452" TargetMode="External"/><Relationship Id="rId54" Type="http://schemas.openxmlformats.org/officeDocument/2006/relationships/table" Target="../tables/table4.xml"/><Relationship Id="rId13" Type="http://schemas.openxmlformats.org/officeDocument/2006/relationships/hyperlink" Target="https://redmine.famishare.jp/issues/206455" TargetMode="External"/><Relationship Id="rId12" Type="http://schemas.openxmlformats.org/officeDocument/2006/relationships/hyperlink" Target="https://redmine.famishare.jp/issues/206453" TargetMode="External"/><Relationship Id="rId15" Type="http://schemas.openxmlformats.org/officeDocument/2006/relationships/hyperlink" Target="https://redmine.famishare.jp/issues/206456" TargetMode="External"/><Relationship Id="rId14" Type="http://schemas.openxmlformats.org/officeDocument/2006/relationships/hyperlink" Target="https://redmine.famishare.jp/issues/206453" TargetMode="External"/><Relationship Id="rId17" Type="http://schemas.openxmlformats.org/officeDocument/2006/relationships/hyperlink" Target="https://redmine.famishare.jp/issues/209936" TargetMode="External"/><Relationship Id="rId16" Type="http://schemas.openxmlformats.org/officeDocument/2006/relationships/hyperlink" Target="https://redmine.famishare.jp/issues/206457" TargetMode="External"/><Relationship Id="rId19" Type="http://schemas.openxmlformats.org/officeDocument/2006/relationships/hyperlink" Target="https://docs.google.com/spreadsheets/d/19_gTqFxr6vbJHsy_xH_oA8pIyszglaiE/edit?usp=drive_link&amp;ouid=113286080740894472260&amp;rtpof=true&amp;sd=true" TargetMode="External"/><Relationship Id="rId18" Type="http://schemas.openxmlformats.org/officeDocument/2006/relationships/hyperlink" Target="mailto:thanh.pham@drjoy.vn"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CSh4V7y4iP0KiIm2xPOgZ6Ri1Pn4OaR4cXNLbkb-tbA/edit?gid=178398349" TargetMode="External"/><Relationship Id="rId9" Type="http://schemas.openxmlformats.org/officeDocument/2006/relationships/hyperlink" Target="https://redmine.famishare.jp/issues/237645" TargetMode="External"/><Relationship Id="rId5" Type="http://schemas.openxmlformats.org/officeDocument/2006/relationships/hyperlink" Target="https://redmine.famishare.jp/issues/237645" TargetMode="External"/><Relationship Id="rId6" Type="http://schemas.openxmlformats.org/officeDocument/2006/relationships/hyperlink" Target="https://docs.google.com/spreadsheets/d/1CSh4V7y4iP0KiIm2xPOgZ6Ri1Pn4OaR4cXNLbkb-tbA/edit?gid=178398349" TargetMode="External"/><Relationship Id="rId7" Type="http://schemas.openxmlformats.org/officeDocument/2006/relationships/hyperlink" Target="https://redmine.famishare.jp/issues/237645" TargetMode="External"/><Relationship Id="rId8" Type="http://schemas.openxmlformats.org/officeDocument/2006/relationships/hyperlink" Target="https://redmine.famishare.jp/issues/237645" TargetMode="External"/><Relationship Id="rId20" Type="http://schemas.openxmlformats.org/officeDocument/2006/relationships/table" Target="../tables/table5.xml"/><Relationship Id="rId21" Type="http://schemas.openxmlformats.org/officeDocument/2006/relationships/table" Target="../tables/table6.xml"/><Relationship Id="rId11" Type="http://schemas.openxmlformats.org/officeDocument/2006/relationships/hyperlink" Target="https://redmine.famishare.jp/issues/245082" TargetMode="External"/><Relationship Id="rId10" Type="http://schemas.openxmlformats.org/officeDocument/2006/relationships/hyperlink" Target="https://redmine.famishare.jp/issues/237645" TargetMode="External"/><Relationship Id="rId13" Type="http://schemas.openxmlformats.org/officeDocument/2006/relationships/hyperlink" Target="https://docs.google.com/spreadsheets/d/1CSh4V7y4iP0KiIm2xPOgZ6Ri1Pn4OaR4cXNLbkb-tbA/edit?gid=1770314220" TargetMode="External"/><Relationship Id="rId12" Type="http://schemas.openxmlformats.org/officeDocument/2006/relationships/hyperlink" Target="https://docs.google.com/spreadsheets/d/1qydC97ujkobqH3BmWNXLqi8YoCXuVM48a-OLwyn9uLU/edit?gid=438056128" TargetMode="External"/><Relationship Id="rId15" Type="http://schemas.openxmlformats.org/officeDocument/2006/relationships/hyperlink" Target="https://docs.google.com/spreadsheets/d/1CSh4V7y4iP0KiIm2xPOgZ6Ri1Pn4OaR4cXNLbkb-tbA/edit?gid=1770314220" TargetMode="External"/><Relationship Id="rId14" Type="http://schemas.openxmlformats.org/officeDocument/2006/relationships/hyperlink" Target="https://redmine.famishare.jp/issues/237645" TargetMode="External"/><Relationship Id="rId17" Type="http://schemas.openxmlformats.org/officeDocument/2006/relationships/vmlDrawing" Target="../drawings/vmlDrawing4.vm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presentation/d/1SrGUR4ucxsuBHstWvCaGjeZWe9RsJZDUlvsuLTvBKjA/edit?slide=id.g37b3e7fc81d_0_0" TargetMode="External"/><Relationship Id="rId9" Type="http://schemas.openxmlformats.org/officeDocument/2006/relationships/hyperlink" Target="https://redmine.famishare.jp/issues/206456" TargetMode="External"/><Relationship Id="rId5" Type="http://schemas.openxmlformats.org/officeDocument/2006/relationships/hyperlink" Target="https://docs.google.com/spreadsheets/d/1rZxpHYayOriiFAWmqAHUemKQ0leCEtHUxXOHBtU8l_A/edit?gid=2091780896" TargetMode="External"/><Relationship Id="rId6" Type="http://schemas.openxmlformats.org/officeDocument/2006/relationships/hyperlink" Target="https://docs.brekeke.com/pbx/ivr-class-flow" TargetMode="External"/><Relationship Id="rId7" Type="http://schemas.openxmlformats.org/officeDocument/2006/relationships/hyperlink" Target="https://docs.google.com/spreadsheets/d/1rZxpHYayOriiFAWmqAHUemKQ0leCEtHUxXOHBtU8l_A/edit?gid=2091780896" TargetMode="External"/><Relationship Id="rId8" Type="http://schemas.openxmlformats.org/officeDocument/2006/relationships/hyperlink" Target="https://prnt.sc/ND_cNiZ15HoX" TargetMode="External"/><Relationship Id="rId11" Type="http://schemas.openxmlformats.org/officeDocument/2006/relationships/hyperlink" Target="https://cloud.google.com/text-to-speech/docs/ssml?hl=ja" TargetMode="External"/><Relationship Id="rId10" Type="http://schemas.openxmlformats.org/officeDocument/2006/relationships/hyperlink" Target="https://docs.google.com/spreadsheets/d/1rZxpHYayOriiFAWmqAHUemKQ0leCEtHUxXOHBtU8l_A/edit?gid=858407144" TargetMode="External"/><Relationship Id="rId13" Type="http://schemas.openxmlformats.org/officeDocument/2006/relationships/hyperlink" Target="https://app.drjoy.jp/gr/copy?actionType=GR&amp;emergencySurveyFlag=true&amp;groupId=-Ns6Ts5KIPEeXQ0WGD8R&amp;articleId=-OfN-_WzK5Fn2YeeyF_n" TargetMode="External"/><Relationship Id="rId12" Type="http://schemas.openxmlformats.org/officeDocument/2006/relationships/hyperlink" Target="https://docs.google.com/spreadsheets/d/1CSh4V7y4iP0KiIm2xPOgZ6Ri1Pn4OaR4cXNLbkb-tbA/edit?gid=1214124092" TargetMode="External"/><Relationship Id="rId15" Type="http://schemas.openxmlformats.org/officeDocument/2006/relationships/drawing" Target="../drawings/drawing7.xml"/><Relationship Id="rId14" Type="http://schemas.openxmlformats.org/officeDocument/2006/relationships/hyperlink" Target="https://redmine.famishare.jp/issues/246290" TargetMode="External"/><Relationship Id="rId16" Type="http://schemas.openxmlformats.org/officeDocument/2006/relationships/vmlDrawing" Target="../drawings/vmlDrawing5.vml"/><Relationship Id="rId18"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redmine.famishare.jp/issues/206442" TargetMode="External"/><Relationship Id="rId2" Type="http://schemas.openxmlformats.org/officeDocument/2006/relationships/hyperlink" Target="https://redmine.famishare.jp/issues/206448" TargetMode="External"/><Relationship Id="rId3" Type="http://schemas.openxmlformats.org/officeDocument/2006/relationships/hyperlink" Target="https://redmine.famishare.jp/issues/206443" TargetMode="External"/><Relationship Id="rId4" Type="http://schemas.openxmlformats.org/officeDocument/2006/relationships/hyperlink" Target="https://redmine.famishare.jp/issues/206446" TargetMode="External"/><Relationship Id="rId9" Type="http://schemas.openxmlformats.org/officeDocument/2006/relationships/hyperlink" Target="https://redmine.famishare.jp/issues/206455" TargetMode="External"/><Relationship Id="rId5" Type="http://schemas.openxmlformats.org/officeDocument/2006/relationships/hyperlink" Target="https://redmine.famishare.jp/issues/206450" TargetMode="External"/><Relationship Id="rId6" Type="http://schemas.openxmlformats.org/officeDocument/2006/relationships/hyperlink" Target="https://redmine.famishare.jp/issues/206451" TargetMode="External"/><Relationship Id="rId7" Type="http://schemas.openxmlformats.org/officeDocument/2006/relationships/hyperlink" Target="https://redmine.famishare.jp/issues/206452" TargetMode="External"/><Relationship Id="rId8" Type="http://schemas.openxmlformats.org/officeDocument/2006/relationships/hyperlink" Target="https://redmine.famishare.jp/issues/206453" TargetMode="External"/><Relationship Id="rId11" Type="http://schemas.openxmlformats.org/officeDocument/2006/relationships/hyperlink" Target="https://redmine.famishare.jp/issues/206457" TargetMode="External"/><Relationship Id="rId10" Type="http://schemas.openxmlformats.org/officeDocument/2006/relationships/hyperlink" Target="https://redmine.famishare.jp/issues/206456" TargetMode="External"/><Relationship Id="rId12" Type="http://schemas.openxmlformats.org/officeDocument/2006/relationships/drawing" Target="../drawings/drawing8.xml"/><Relationship Id="rId1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hyperlink" Target="https://chatgpt.com/share/e/6879c9d7-df6c-8004-9a4d-4e8f9eaa4aad" TargetMode="External"/><Relationship Id="rId2" Type="http://schemas.openxmlformats.org/officeDocument/2006/relationships/hyperlink" Target="https://comm.rakuten.co.jp/houjin/ip/" TargetMode="External"/><Relationship Id="rId3" Type="http://schemas.openxmlformats.org/officeDocument/2006/relationships/hyperlink" Target="https://comm.rakuten.co.jp/houjin/ip/fee/" TargetMode="External"/><Relationship Id="rId4" Type="http://schemas.openxmlformats.org/officeDocument/2006/relationships/drawing" Target="../drawings/drawing9.xml"/><Relationship Id="rId6"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evelop-speech.famishare.jp/api/v1/rag" TargetMode="External"/><Relationship Id="rId5" Type="http://schemas.openxmlformats.org/officeDocument/2006/relationships/hyperlink" Target="http://10.0.20.11:8000/api/v1/rag" TargetMode="External"/><Relationship Id="rId6" Type="http://schemas.openxmlformats.org/officeDocument/2006/relationships/hyperlink" Target="http://10.0.20.14:8000/api/v1/rag" TargetMode="External"/><Relationship Id="rId7" Type="http://schemas.openxmlformats.org/officeDocument/2006/relationships/drawing" Target="../drawings/drawing10.xml"/><Relationship Id="rId8"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67.13"/>
    <col customWidth="1" min="5" max="5" width="18.75"/>
    <col customWidth="1" min="6" max="6" width="47.75"/>
  </cols>
  <sheetData>
    <row r="1">
      <c r="A1" s="1" t="s">
        <v>0</v>
      </c>
      <c r="B1" s="1" t="s">
        <v>1</v>
      </c>
      <c r="C1" s="1" t="s">
        <v>2</v>
      </c>
      <c r="D1" s="1" t="s">
        <v>3</v>
      </c>
      <c r="E1" s="1" t="s">
        <v>4</v>
      </c>
      <c r="F1" s="1" t="s">
        <v>5</v>
      </c>
    </row>
    <row r="2">
      <c r="A2" s="1" t="s">
        <v>6</v>
      </c>
      <c r="B2" s="1" t="s">
        <v>7</v>
      </c>
      <c r="C2" s="1" t="s">
        <v>8</v>
      </c>
      <c r="D2" s="1" t="s">
        <v>9</v>
      </c>
    </row>
    <row r="3">
      <c r="A3" s="1" t="s">
        <v>6</v>
      </c>
      <c r="B3" s="1" t="s">
        <v>10</v>
      </c>
      <c r="C3" s="1" t="s">
        <v>11</v>
      </c>
      <c r="D3" s="1" t="s">
        <v>9</v>
      </c>
    </row>
    <row r="4">
      <c r="A4" s="1" t="s">
        <v>6</v>
      </c>
      <c r="B4" s="1" t="s">
        <v>12</v>
      </c>
      <c r="C4" s="1" t="s">
        <v>13</v>
      </c>
      <c r="D4" s="1" t="s">
        <v>9</v>
      </c>
    </row>
    <row r="5">
      <c r="A5" s="1" t="s">
        <v>6</v>
      </c>
      <c r="B5" s="1" t="s">
        <v>14</v>
      </c>
      <c r="C5" s="1" t="s">
        <v>15</v>
      </c>
      <c r="D5" s="1" t="s">
        <v>9</v>
      </c>
    </row>
    <row r="6">
      <c r="A6" s="1" t="s">
        <v>6</v>
      </c>
      <c r="B6" s="1" t="s">
        <v>16</v>
      </c>
      <c r="C6" s="1" t="s">
        <v>17</v>
      </c>
      <c r="D6" s="1" t="s">
        <v>9</v>
      </c>
    </row>
    <row r="7">
      <c r="A7" s="1" t="s">
        <v>6</v>
      </c>
      <c r="B7" s="1" t="s">
        <v>16</v>
      </c>
      <c r="C7" s="1" t="s">
        <v>18</v>
      </c>
      <c r="D7" s="1" t="s">
        <v>9</v>
      </c>
    </row>
    <row r="8">
      <c r="A8" s="1"/>
      <c r="B8" s="1"/>
      <c r="C8" s="1"/>
    </row>
    <row r="9">
      <c r="A9" s="1"/>
      <c r="B9" s="1"/>
      <c r="C9" s="1"/>
    </row>
    <row r="10">
      <c r="A10" s="1"/>
      <c r="B10" s="1"/>
      <c r="C10" s="1"/>
    </row>
    <row r="11">
      <c r="A11" s="1" t="s">
        <v>19</v>
      </c>
      <c r="B11" s="1" t="s">
        <v>19</v>
      </c>
      <c r="C11" s="1" t="s">
        <v>20</v>
      </c>
      <c r="D11" s="1" t="s">
        <v>21</v>
      </c>
      <c r="E11" s="1" t="s">
        <v>22</v>
      </c>
      <c r="F11" s="1" t="s">
        <v>23</v>
      </c>
      <c r="G11" s="2" t="s">
        <v>24</v>
      </c>
    </row>
    <row r="12">
      <c r="A12" s="1" t="s">
        <v>19</v>
      </c>
      <c r="B12" s="1" t="s">
        <v>19</v>
      </c>
      <c r="C12" s="1" t="s">
        <v>25</v>
      </c>
      <c r="D12" s="1" t="s">
        <v>21</v>
      </c>
      <c r="F12" s="1" t="s">
        <v>26</v>
      </c>
      <c r="G12" s="2" t="s">
        <v>24</v>
      </c>
    </row>
    <row r="13">
      <c r="A13" s="1" t="s">
        <v>19</v>
      </c>
      <c r="B13" s="1" t="s">
        <v>19</v>
      </c>
      <c r="C13" s="1" t="s">
        <v>27</v>
      </c>
      <c r="D13" s="1" t="s">
        <v>21</v>
      </c>
      <c r="F13" s="1" t="s">
        <v>28</v>
      </c>
      <c r="G13" s="2" t="s">
        <v>24</v>
      </c>
    </row>
    <row r="14">
      <c r="A14" s="1" t="s">
        <v>19</v>
      </c>
      <c r="B14" s="1" t="s">
        <v>19</v>
      </c>
      <c r="C14" s="1" t="s">
        <v>29</v>
      </c>
      <c r="D14" s="1" t="s">
        <v>21</v>
      </c>
      <c r="G14" s="2" t="s">
        <v>24</v>
      </c>
    </row>
    <row r="15">
      <c r="A15" s="1" t="s">
        <v>19</v>
      </c>
      <c r="B15" s="1" t="s">
        <v>19</v>
      </c>
      <c r="C15" s="1" t="s">
        <v>30</v>
      </c>
      <c r="D15" s="1" t="s">
        <v>21</v>
      </c>
      <c r="G15" s="2" t="s">
        <v>24</v>
      </c>
    </row>
    <row r="16">
      <c r="A16" s="1" t="s">
        <v>19</v>
      </c>
      <c r="B16" s="1" t="s">
        <v>19</v>
      </c>
      <c r="C16" s="1" t="s">
        <v>31</v>
      </c>
      <c r="D16" s="1" t="s">
        <v>21</v>
      </c>
      <c r="G16" s="2" t="s">
        <v>24</v>
      </c>
    </row>
    <row r="17">
      <c r="A17" s="1"/>
      <c r="B17" s="1"/>
      <c r="C17" s="1"/>
      <c r="D17" s="1"/>
    </row>
    <row r="18">
      <c r="A18" s="1"/>
      <c r="B18" s="1"/>
      <c r="C18" s="1"/>
      <c r="D18" s="1"/>
    </row>
    <row r="19">
      <c r="A19" s="1" t="s">
        <v>32</v>
      </c>
      <c r="B19" s="1" t="s">
        <v>33</v>
      </c>
      <c r="C19" s="1" t="s">
        <v>34</v>
      </c>
      <c r="D19" s="1" t="s">
        <v>35</v>
      </c>
      <c r="E19" s="3" t="s">
        <v>36</v>
      </c>
      <c r="F19" s="4" t="s">
        <v>37</v>
      </c>
    </row>
  </sheetData>
  <hyperlinks>
    <hyperlink r:id="rId4" location="gid=238842802" ref="G11"/>
    <hyperlink r:id="rId5" location="gid=238842802" ref="G12"/>
    <hyperlink r:id="rId6" location="gid=238842802" ref="G13"/>
    <hyperlink r:id="rId7" location="gid=238842802" ref="G14"/>
    <hyperlink r:id="rId8" location="gid=238842802" ref="G15"/>
    <hyperlink r:id="rId9" location="gid=238842802" ref="G16"/>
    <hyperlink display="050比較シートで記載。楽天でよさそう。" location="'050比較'!A1" ref="F19"/>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7.25"/>
    <col customWidth="1" min="3" max="3" width="11.88"/>
    <col customWidth="1" min="4" max="6" width="3.38"/>
    <col customWidth="1" min="7" max="7" width="8.38"/>
    <col customWidth="1" min="8" max="8" width="35.13"/>
    <col customWidth="1" min="9" max="26" width="3.38"/>
  </cols>
  <sheetData>
    <row r="2">
      <c r="B2" s="5" t="s">
        <v>38</v>
      </c>
      <c r="C2" s="5" t="s">
        <v>39</v>
      </c>
      <c r="H2" s="6" t="s">
        <v>40</v>
      </c>
    </row>
    <row r="3">
      <c r="B3" s="7" t="s">
        <v>41</v>
      </c>
      <c r="C3" s="5" t="s">
        <v>42</v>
      </c>
      <c r="H3" s="1" t="s">
        <v>43</v>
      </c>
    </row>
    <row r="4">
      <c r="B4" s="8"/>
      <c r="C4" s="5" t="s">
        <v>44</v>
      </c>
      <c r="D4" s="1" t="s">
        <v>45</v>
      </c>
      <c r="H4" s="1" t="s">
        <v>46</v>
      </c>
    </row>
    <row r="5">
      <c r="B5" s="5" t="s">
        <v>47</v>
      </c>
      <c r="C5" s="5" t="s">
        <v>48</v>
      </c>
      <c r="D5" s="1" t="s">
        <v>49</v>
      </c>
    </row>
    <row r="6">
      <c r="B6" s="7" t="s">
        <v>50</v>
      </c>
      <c r="C6" s="5" t="s">
        <v>39</v>
      </c>
      <c r="H6" s="1" t="s">
        <v>51</v>
      </c>
    </row>
    <row r="7">
      <c r="B7" s="8"/>
      <c r="H7" s="1" t="s">
        <v>52</v>
      </c>
    </row>
    <row r="8">
      <c r="B8" s="5" t="s">
        <v>53</v>
      </c>
    </row>
    <row r="9">
      <c r="B9" s="7" t="s">
        <v>54</v>
      </c>
      <c r="H9" s="1" t="s">
        <v>55</v>
      </c>
    </row>
    <row r="10">
      <c r="B10" s="8"/>
      <c r="H10" s="1" t="s">
        <v>56</v>
      </c>
    </row>
    <row r="11">
      <c r="B11" s="5" t="s">
        <v>57</v>
      </c>
    </row>
    <row r="12">
      <c r="B12" s="7" t="s">
        <v>58</v>
      </c>
    </row>
    <row r="13">
      <c r="B13" s="8"/>
    </row>
    <row r="14">
      <c r="B14" s="5" t="s">
        <v>59</v>
      </c>
    </row>
    <row r="15">
      <c r="B15" s="7" t="s">
        <v>60</v>
      </c>
    </row>
    <row r="18">
      <c r="B18" s="2" t="s">
        <v>61</v>
      </c>
      <c r="C18" s="1" t="s">
        <v>62</v>
      </c>
    </row>
  </sheetData>
  <hyperlinks>
    <hyperlink r:id="rId1" ref="B3"/>
    <hyperlink r:id="rId2" ref="B6"/>
    <hyperlink r:id="rId3" ref="B9"/>
    <hyperlink r:id="rId4" ref="B12"/>
    <hyperlink r:id="rId5" ref="B15"/>
    <hyperlink r:id="rId6" location="slide=id.p" ref="B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88"/>
    <col customWidth="1" min="2" max="2" width="9.38"/>
    <col customWidth="1" min="3" max="3" width="26.38"/>
    <col customWidth="1" min="4" max="5" width="15.75"/>
    <col customWidth="1" min="6" max="6" width="37.63"/>
    <col customWidth="1" min="7" max="7" width="15.75"/>
    <col customWidth="1" min="8" max="8" width="76.5"/>
    <col customWidth="1" min="9" max="25" width="4.88"/>
  </cols>
  <sheetData>
    <row r="1">
      <c r="A1" s="9"/>
      <c r="B1" s="9"/>
      <c r="C1" s="9"/>
      <c r="D1" s="9"/>
      <c r="E1" s="9"/>
      <c r="F1" s="9"/>
      <c r="G1" s="9"/>
      <c r="H1" s="9"/>
      <c r="I1" s="9"/>
      <c r="J1" s="9"/>
      <c r="K1" s="9"/>
      <c r="L1" s="9"/>
      <c r="M1" s="9"/>
      <c r="N1" s="9"/>
      <c r="O1" s="9"/>
      <c r="P1" s="9"/>
      <c r="Q1" s="9"/>
      <c r="R1" s="9"/>
      <c r="S1" s="9"/>
      <c r="T1" s="9"/>
      <c r="U1" s="9"/>
      <c r="V1" s="9"/>
      <c r="W1" s="9"/>
      <c r="X1" s="9"/>
      <c r="Y1" s="9"/>
    </row>
    <row r="2" ht="22.5" customHeight="1">
      <c r="A2" s="9"/>
      <c r="B2" s="10" t="s">
        <v>63</v>
      </c>
      <c r="C2" s="10" t="s">
        <v>64</v>
      </c>
      <c r="D2" s="10" t="s">
        <v>65</v>
      </c>
      <c r="E2" s="10" t="s">
        <v>66</v>
      </c>
      <c r="F2" s="10" t="s">
        <v>67</v>
      </c>
      <c r="G2" s="10" t="s">
        <v>68</v>
      </c>
      <c r="H2" s="10" t="s">
        <v>69</v>
      </c>
      <c r="I2" s="9"/>
      <c r="J2" s="9"/>
      <c r="K2" s="9"/>
      <c r="L2" s="9"/>
      <c r="M2" s="9"/>
      <c r="N2" s="9"/>
      <c r="O2" s="9"/>
      <c r="P2" s="9"/>
      <c r="Q2" s="9"/>
      <c r="R2" s="9"/>
      <c r="S2" s="9"/>
      <c r="T2" s="9"/>
      <c r="U2" s="9"/>
      <c r="V2" s="9"/>
      <c r="W2" s="9"/>
      <c r="X2" s="9"/>
      <c r="Y2" s="9"/>
    </row>
    <row r="3" ht="22.5" customHeight="1">
      <c r="A3" s="9"/>
      <c r="B3" s="11">
        <f t="shared" ref="B3:B6" si="1">ROW()-2</f>
        <v>1</v>
      </c>
      <c r="C3" s="12" t="s">
        <v>22</v>
      </c>
      <c r="D3" s="13" t="s">
        <v>70</v>
      </c>
      <c r="E3" s="14">
        <v>45910.0</v>
      </c>
      <c r="F3" s="13" t="s">
        <v>71</v>
      </c>
      <c r="G3" s="13" t="s">
        <v>72</v>
      </c>
      <c r="H3" s="13" t="s">
        <v>73</v>
      </c>
      <c r="I3" s="9"/>
      <c r="J3" s="9"/>
      <c r="K3" s="9"/>
      <c r="L3" s="9"/>
      <c r="M3" s="9"/>
      <c r="N3" s="9"/>
      <c r="O3" s="9"/>
      <c r="P3" s="9"/>
      <c r="Q3" s="9"/>
      <c r="R3" s="9"/>
      <c r="S3" s="9"/>
      <c r="T3" s="9"/>
      <c r="U3" s="9"/>
      <c r="V3" s="9"/>
      <c r="W3" s="9"/>
      <c r="X3" s="9"/>
      <c r="Y3" s="9"/>
    </row>
    <row r="4" ht="22.5" customHeight="1">
      <c r="A4" s="9"/>
      <c r="B4" s="11">
        <f t="shared" si="1"/>
        <v>2</v>
      </c>
      <c r="C4" s="12" t="s">
        <v>74</v>
      </c>
      <c r="D4" s="13" t="s">
        <v>75</v>
      </c>
      <c r="E4" s="15">
        <v>45911.0</v>
      </c>
      <c r="F4" s="16" t="s">
        <v>76</v>
      </c>
      <c r="G4" s="11"/>
      <c r="H4" s="16" t="s">
        <v>77</v>
      </c>
      <c r="I4" s="9"/>
      <c r="J4" s="9"/>
      <c r="K4" s="9"/>
      <c r="L4" s="9"/>
      <c r="M4" s="9"/>
      <c r="N4" s="9"/>
      <c r="O4" s="9"/>
      <c r="P4" s="9"/>
      <c r="Q4" s="9"/>
      <c r="R4" s="9"/>
      <c r="S4" s="9"/>
      <c r="T4" s="9"/>
      <c r="U4" s="9"/>
      <c r="V4" s="9"/>
      <c r="W4" s="9"/>
      <c r="X4" s="9"/>
      <c r="Y4" s="9"/>
    </row>
    <row r="5" ht="22.5" customHeight="1">
      <c r="A5" s="9"/>
      <c r="B5" s="11">
        <f t="shared" si="1"/>
        <v>3</v>
      </c>
      <c r="C5" s="17"/>
      <c r="D5" s="11"/>
      <c r="E5" s="11"/>
      <c r="F5" s="11"/>
      <c r="G5" s="11"/>
      <c r="H5" s="11"/>
      <c r="I5" s="9"/>
      <c r="J5" s="9"/>
      <c r="K5" s="9"/>
      <c r="L5" s="9"/>
      <c r="M5" s="9"/>
      <c r="N5" s="9"/>
      <c r="O5" s="9"/>
      <c r="P5" s="9"/>
      <c r="Q5" s="9"/>
      <c r="R5" s="9"/>
      <c r="S5" s="9"/>
      <c r="T5" s="9"/>
      <c r="U5" s="9"/>
      <c r="V5" s="9"/>
      <c r="W5" s="9"/>
      <c r="X5" s="9"/>
      <c r="Y5" s="9"/>
    </row>
    <row r="6" ht="22.5" customHeight="1">
      <c r="A6" s="9"/>
      <c r="B6" s="11">
        <f t="shared" si="1"/>
        <v>4</v>
      </c>
      <c r="C6" s="17"/>
      <c r="D6" s="11"/>
      <c r="E6" s="11"/>
      <c r="F6" s="11"/>
      <c r="G6" s="11"/>
      <c r="H6" s="11"/>
      <c r="I6" s="9"/>
      <c r="J6" s="9"/>
      <c r="K6" s="9"/>
      <c r="L6" s="9"/>
      <c r="M6" s="9"/>
      <c r="N6" s="9"/>
      <c r="O6" s="9"/>
      <c r="P6" s="9"/>
      <c r="Q6" s="9"/>
      <c r="R6" s="9"/>
      <c r="S6" s="9"/>
      <c r="T6" s="9"/>
      <c r="U6" s="9"/>
      <c r="V6" s="9"/>
      <c r="W6" s="9"/>
      <c r="X6" s="9"/>
      <c r="Y6" s="9"/>
    </row>
    <row r="7">
      <c r="A7" s="9"/>
      <c r="B7" s="9"/>
      <c r="C7" s="9"/>
      <c r="D7" s="9"/>
      <c r="E7" s="9"/>
      <c r="F7" s="9"/>
      <c r="G7" s="9"/>
      <c r="H7" s="9"/>
      <c r="I7" s="9"/>
      <c r="J7" s="9"/>
      <c r="K7" s="9"/>
      <c r="L7" s="9"/>
      <c r="M7" s="9"/>
      <c r="N7" s="9"/>
      <c r="O7" s="9"/>
      <c r="P7" s="9"/>
      <c r="Q7" s="9"/>
      <c r="R7" s="9"/>
      <c r="S7" s="9"/>
      <c r="T7" s="9"/>
      <c r="U7" s="9"/>
      <c r="V7" s="9"/>
      <c r="W7" s="9"/>
      <c r="X7" s="9"/>
      <c r="Y7" s="9"/>
    </row>
    <row r="8">
      <c r="A8" s="9"/>
      <c r="B8" s="9"/>
      <c r="C8" s="9"/>
      <c r="D8" s="9"/>
      <c r="E8" s="9"/>
      <c r="F8" s="9"/>
      <c r="G8" s="9"/>
      <c r="H8" s="9"/>
      <c r="I8" s="9"/>
      <c r="J8" s="9"/>
      <c r="K8" s="9"/>
      <c r="L8" s="9"/>
      <c r="M8" s="9"/>
      <c r="N8" s="9"/>
      <c r="O8" s="9"/>
      <c r="P8" s="9"/>
      <c r="Q8" s="9"/>
      <c r="R8" s="9"/>
      <c r="S8" s="9"/>
      <c r="T8" s="9"/>
      <c r="U8" s="9"/>
      <c r="V8" s="9"/>
      <c r="W8" s="9"/>
      <c r="X8" s="9"/>
      <c r="Y8" s="9"/>
    </row>
    <row r="9">
      <c r="A9" s="9"/>
      <c r="B9" s="9"/>
      <c r="C9" s="9"/>
      <c r="D9" s="9"/>
      <c r="E9" s="9"/>
      <c r="F9" s="9"/>
      <c r="G9" s="9"/>
      <c r="H9" s="9"/>
      <c r="I9" s="9"/>
      <c r="J9" s="9"/>
      <c r="K9" s="9"/>
      <c r="L9" s="9"/>
      <c r="M9" s="9"/>
      <c r="N9" s="9"/>
      <c r="O9" s="9"/>
      <c r="P9" s="9"/>
      <c r="Q9" s="9"/>
      <c r="R9" s="9"/>
      <c r="S9" s="9"/>
      <c r="T9" s="9"/>
      <c r="U9" s="9"/>
      <c r="V9" s="9"/>
      <c r="W9" s="9"/>
      <c r="X9" s="9"/>
      <c r="Y9" s="9"/>
    </row>
    <row r="10">
      <c r="A10" s="9"/>
      <c r="B10" s="9"/>
      <c r="C10" s="9"/>
      <c r="D10" s="9"/>
      <c r="E10" s="9"/>
      <c r="F10" s="9"/>
      <c r="G10" s="9"/>
      <c r="H10" s="9"/>
      <c r="I10" s="9"/>
      <c r="J10" s="9"/>
      <c r="K10" s="9"/>
      <c r="L10" s="9"/>
      <c r="M10" s="9"/>
      <c r="N10" s="9"/>
      <c r="O10" s="9"/>
      <c r="P10" s="9"/>
      <c r="Q10" s="9"/>
      <c r="R10" s="9"/>
      <c r="S10" s="9"/>
      <c r="T10" s="9"/>
      <c r="U10" s="9"/>
      <c r="V10" s="9"/>
      <c r="W10" s="9"/>
      <c r="X10" s="9"/>
      <c r="Y10" s="9"/>
    </row>
    <row r="11">
      <c r="A11" s="9"/>
      <c r="B11" s="9"/>
      <c r="C11" s="9"/>
      <c r="D11" s="9"/>
      <c r="E11" s="9"/>
      <c r="F11" s="9"/>
      <c r="G11" s="9"/>
      <c r="H11" s="9"/>
      <c r="I11" s="9"/>
      <c r="J11" s="9"/>
      <c r="K11" s="9"/>
      <c r="L11" s="9"/>
      <c r="M11" s="9"/>
      <c r="N11" s="9"/>
      <c r="O11" s="9"/>
      <c r="P11" s="9"/>
      <c r="Q11" s="9"/>
      <c r="R11" s="9"/>
      <c r="S11" s="9"/>
      <c r="T11" s="9"/>
      <c r="U11" s="9"/>
      <c r="V11" s="9"/>
      <c r="W11" s="9"/>
      <c r="X11" s="9"/>
      <c r="Y11" s="9"/>
    </row>
    <row r="12">
      <c r="A12" s="9"/>
      <c r="B12" s="9"/>
      <c r="C12" s="9"/>
      <c r="D12" s="9"/>
      <c r="E12" s="9"/>
      <c r="F12" s="9"/>
      <c r="G12" s="9"/>
      <c r="H12" s="9"/>
      <c r="I12" s="9"/>
      <c r="J12" s="9"/>
      <c r="K12" s="9"/>
      <c r="L12" s="9"/>
      <c r="M12" s="9"/>
      <c r="N12" s="9"/>
      <c r="O12" s="9"/>
      <c r="P12" s="9"/>
      <c r="Q12" s="9"/>
      <c r="R12" s="9"/>
      <c r="S12" s="9"/>
      <c r="T12" s="9"/>
      <c r="U12" s="9"/>
      <c r="V12" s="9"/>
      <c r="W12" s="9"/>
      <c r="X12" s="9"/>
      <c r="Y12" s="9"/>
    </row>
    <row r="13">
      <c r="A13" s="9"/>
      <c r="B13" s="9"/>
      <c r="C13" s="9"/>
      <c r="D13" s="9"/>
      <c r="E13" s="9"/>
      <c r="F13" s="9"/>
      <c r="G13" s="9"/>
      <c r="H13" s="9"/>
      <c r="I13" s="9"/>
      <c r="J13" s="9"/>
      <c r="K13" s="9"/>
      <c r="L13" s="9"/>
      <c r="M13" s="9"/>
      <c r="N13" s="9"/>
      <c r="O13" s="9"/>
      <c r="P13" s="9"/>
      <c r="Q13" s="9"/>
      <c r="R13" s="9"/>
      <c r="S13" s="9"/>
      <c r="T13" s="9"/>
      <c r="U13" s="9"/>
      <c r="V13" s="9"/>
      <c r="W13" s="9"/>
      <c r="X13" s="9"/>
      <c r="Y13" s="9"/>
    </row>
    <row r="14">
      <c r="A14" s="9"/>
      <c r="B14" s="9"/>
      <c r="C14" s="9"/>
      <c r="D14" s="9"/>
      <c r="E14" s="9"/>
      <c r="F14" s="9"/>
      <c r="G14" s="9"/>
      <c r="H14" s="9"/>
      <c r="I14" s="9"/>
      <c r="J14" s="9"/>
      <c r="K14" s="9"/>
      <c r="L14" s="9"/>
      <c r="M14" s="9"/>
      <c r="N14" s="9"/>
      <c r="O14" s="9"/>
      <c r="P14" s="9"/>
      <c r="Q14" s="9"/>
      <c r="R14" s="9"/>
      <c r="S14" s="9"/>
      <c r="T14" s="9"/>
      <c r="U14" s="9"/>
      <c r="V14" s="9"/>
      <c r="W14" s="9"/>
      <c r="X14" s="9"/>
      <c r="Y14" s="9"/>
    </row>
    <row r="15">
      <c r="A15" s="9"/>
      <c r="B15" s="9"/>
      <c r="C15" s="9"/>
      <c r="D15" s="9"/>
      <c r="E15" s="9"/>
      <c r="F15" s="9"/>
      <c r="G15" s="9"/>
      <c r="H15" s="9"/>
      <c r="I15" s="9"/>
      <c r="J15" s="9"/>
      <c r="K15" s="9"/>
      <c r="L15" s="9"/>
      <c r="M15" s="9"/>
      <c r="N15" s="9"/>
      <c r="O15" s="9"/>
      <c r="P15" s="9"/>
      <c r="Q15" s="9"/>
      <c r="R15" s="9"/>
      <c r="S15" s="9"/>
      <c r="T15" s="9"/>
      <c r="U15" s="9"/>
      <c r="V15" s="9"/>
      <c r="W15" s="9"/>
      <c r="X15" s="9"/>
      <c r="Y15" s="9"/>
    </row>
    <row r="16">
      <c r="A16" s="9"/>
      <c r="B16" s="9"/>
      <c r="C16" s="9"/>
      <c r="D16" s="9"/>
      <c r="E16" s="9"/>
      <c r="F16" s="9"/>
      <c r="G16" s="9"/>
      <c r="H16" s="9"/>
      <c r="I16" s="9"/>
      <c r="J16" s="9"/>
      <c r="K16" s="9"/>
      <c r="L16" s="9"/>
      <c r="M16" s="9"/>
      <c r="N16" s="9"/>
      <c r="O16" s="9"/>
      <c r="P16" s="9"/>
      <c r="Q16" s="9"/>
      <c r="R16" s="9"/>
      <c r="S16" s="9"/>
      <c r="T16" s="9"/>
      <c r="U16" s="9"/>
      <c r="V16" s="9"/>
      <c r="W16" s="9"/>
      <c r="X16" s="9"/>
      <c r="Y16" s="9"/>
    </row>
    <row r="17">
      <c r="A17" s="9"/>
      <c r="B17" s="9"/>
      <c r="C17" s="9"/>
      <c r="D17" s="9"/>
      <c r="E17" s="9"/>
      <c r="F17" s="9"/>
      <c r="G17" s="9"/>
      <c r="H17" s="9"/>
      <c r="I17" s="9"/>
      <c r="J17" s="9"/>
      <c r="K17" s="9"/>
      <c r="L17" s="9"/>
      <c r="M17" s="9"/>
      <c r="N17" s="9"/>
      <c r="O17" s="9"/>
      <c r="P17" s="9"/>
      <c r="Q17" s="9"/>
      <c r="R17" s="9"/>
      <c r="S17" s="9"/>
      <c r="T17" s="9"/>
      <c r="U17" s="9"/>
      <c r="V17" s="9"/>
      <c r="W17" s="9"/>
      <c r="X17" s="9"/>
      <c r="Y17" s="9"/>
    </row>
    <row r="18">
      <c r="A18" s="9"/>
      <c r="B18" s="9"/>
      <c r="C18" s="9"/>
      <c r="D18" s="9"/>
      <c r="E18" s="9"/>
      <c r="F18" s="9"/>
      <c r="G18" s="9"/>
      <c r="H18" s="9"/>
      <c r="I18" s="9"/>
      <c r="J18" s="9"/>
      <c r="K18" s="9"/>
      <c r="L18" s="9"/>
      <c r="M18" s="9"/>
      <c r="N18" s="9"/>
      <c r="O18" s="9"/>
      <c r="P18" s="9"/>
      <c r="Q18" s="9"/>
      <c r="R18" s="9"/>
      <c r="S18" s="9"/>
      <c r="T18" s="9"/>
      <c r="U18" s="9"/>
      <c r="V18" s="9"/>
      <c r="W18" s="9"/>
      <c r="X18" s="9"/>
      <c r="Y18" s="9"/>
    </row>
    <row r="19">
      <c r="A19" s="9"/>
      <c r="B19" s="9"/>
      <c r="C19" s="9"/>
      <c r="D19" s="9"/>
      <c r="E19" s="9"/>
      <c r="F19" s="9"/>
      <c r="G19" s="9"/>
      <c r="H19" s="9"/>
      <c r="I19" s="9"/>
      <c r="J19" s="9"/>
      <c r="K19" s="9"/>
      <c r="L19" s="9"/>
      <c r="M19" s="9"/>
      <c r="N19" s="9"/>
      <c r="O19" s="9"/>
      <c r="P19" s="9"/>
      <c r="Q19" s="9"/>
      <c r="R19" s="9"/>
      <c r="S19" s="9"/>
      <c r="T19" s="9"/>
      <c r="U19" s="9"/>
      <c r="V19" s="9"/>
      <c r="W19" s="9"/>
      <c r="X19" s="9"/>
      <c r="Y19" s="9"/>
    </row>
    <row r="20">
      <c r="A20" s="9"/>
      <c r="B20" s="9"/>
      <c r="C20" s="9"/>
      <c r="D20" s="9"/>
      <c r="E20" s="9"/>
      <c r="F20" s="9"/>
      <c r="G20" s="9"/>
      <c r="H20" s="9"/>
      <c r="I20" s="9"/>
      <c r="J20" s="9"/>
      <c r="K20" s="9"/>
      <c r="L20" s="9"/>
      <c r="M20" s="9"/>
      <c r="N20" s="9"/>
      <c r="O20" s="9"/>
      <c r="P20" s="9"/>
      <c r="Q20" s="9"/>
      <c r="R20" s="9"/>
      <c r="S20" s="9"/>
      <c r="T20" s="9"/>
      <c r="U20" s="9"/>
      <c r="V20" s="9"/>
      <c r="W20" s="9"/>
      <c r="X20" s="9"/>
      <c r="Y20" s="9"/>
    </row>
    <row r="21">
      <c r="A21" s="9"/>
      <c r="B21" s="9"/>
      <c r="C21" s="9"/>
      <c r="D21" s="9"/>
      <c r="E21" s="9"/>
      <c r="F21" s="9"/>
      <c r="G21" s="9"/>
      <c r="H21" s="9"/>
      <c r="I21" s="9"/>
      <c r="J21" s="9"/>
      <c r="K21" s="9"/>
      <c r="L21" s="9"/>
      <c r="M21" s="9"/>
      <c r="N21" s="9"/>
      <c r="O21" s="9"/>
      <c r="P21" s="9"/>
      <c r="Q21" s="9"/>
      <c r="R21" s="9"/>
      <c r="S21" s="9"/>
      <c r="T21" s="9"/>
      <c r="U21" s="9"/>
      <c r="V21" s="9"/>
      <c r="W21" s="9"/>
      <c r="X21" s="9"/>
      <c r="Y21" s="9"/>
    </row>
    <row r="22">
      <c r="A22" s="9"/>
      <c r="B22" s="9"/>
      <c r="C22" s="9"/>
      <c r="D22" s="9"/>
      <c r="E22" s="9"/>
      <c r="F22" s="9"/>
      <c r="G22" s="9"/>
      <c r="H22" s="9"/>
      <c r="I22" s="9"/>
      <c r="J22" s="9"/>
      <c r="K22" s="9"/>
      <c r="L22" s="9"/>
      <c r="M22" s="9"/>
      <c r="N22" s="9"/>
      <c r="O22" s="9"/>
      <c r="P22" s="9"/>
      <c r="Q22" s="9"/>
      <c r="R22" s="9"/>
      <c r="S22" s="9"/>
      <c r="T22" s="9"/>
      <c r="U22" s="9"/>
      <c r="V22" s="9"/>
      <c r="W22" s="9"/>
      <c r="X22" s="9"/>
      <c r="Y22" s="9"/>
    </row>
    <row r="23">
      <c r="A23" s="9"/>
      <c r="B23" s="9"/>
      <c r="C23" s="9"/>
      <c r="D23" s="9"/>
      <c r="E23" s="9"/>
      <c r="F23" s="9"/>
      <c r="G23" s="9"/>
      <c r="H23" s="9"/>
      <c r="I23" s="9"/>
      <c r="J23" s="9"/>
      <c r="K23" s="9"/>
      <c r="L23" s="9"/>
      <c r="M23" s="9"/>
      <c r="N23" s="9"/>
      <c r="O23" s="9"/>
      <c r="P23" s="9"/>
      <c r="Q23" s="9"/>
      <c r="R23" s="9"/>
      <c r="S23" s="9"/>
      <c r="T23" s="9"/>
      <c r="U23" s="9"/>
      <c r="V23" s="9"/>
      <c r="W23" s="9"/>
      <c r="X23" s="9"/>
      <c r="Y23" s="9"/>
    </row>
    <row r="24">
      <c r="A24" s="9"/>
      <c r="B24" s="9"/>
      <c r="C24" s="9"/>
      <c r="D24" s="9"/>
      <c r="E24" s="9"/>
      <c r="F24" s="9"/>
      <c r="G24" s="9"/>
      <c r="H24" s="9"/>
      <c r="I24" s="9"/>
      <c r="J24" s="9"/>
      <c r="K24" s="9"/>
      <c r="L24" s="9"/>
      <c r="M24" s="9"/>
      <c r="N24" s="9"/>
      <c r="O24" s="9"/>
      <c r="P24" s="9"/>
      <c r="Q24" s="9"/>
      <c r="R24" s="9"/>
      <c r="S24" s="9"/>
      <c r="T24" s="9"/>
      <c r="U24" s="9"/>
      <c r="V24" s="9"/>
      <c r="W24" s="9"/>
      <c r="X24" s="9"/>
      <c r="Y24" s="9"/>
    </row>
    <row r="25">
      <c r="A25" s="9"/>
      <c r="B25" s="9"/>
      <c r="C25" s="9"/>
      <c r="D25" s="9"/>
      <c r="E25" s="9"/>
      <c r="F25" s="9"/>
      <c r="G25" s="9"/>
      <c r="H25" s="9"/>
      <c r="I25" s="9"/>
      <c r="J25" s="9"/>
      <c r="K25" s="9"/>
      <c r="L25" s="9"/>
      <c r="M25" s="9"/>
      <c r="N25" s="9"/>
      <c r="O25" s="9"/>
      <c r="P25" s="9"/>
      <c r="Q25" s="9"/>
      <c r="R25" s="9"/>
      <c r="S25" s="9"/>
      <c r="T25" s="9"/>
      <c r="U25" s="9"/>
      <c r="V25" s="9"/>
      <c r="W25" s="9"/>
      <c r="X25" s="9"/>
      <c r="Y25" s="9"/>
    </row>
    <row r="26">
      <c r="A26" s="9"/>
      <c r="B26" s="9"/>
      <c r="C26" s="9"/>
      <c r="D26" s="9"/>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dataValidations>
    <dataValidation type="list" allowBlank="1" showErrorMessage="1" sqref="C3:C6">
      <formula1>"TS確認、TS対応中,TS対応済み、起票者確認中,完了,起票者対応、TS確認待ち"</formula1>
    </dataValidation>
  </dataValidations>
  <hyperlinks>
    <hyperlink r:id="rId4" ref="F4"/>
    <hyperlink r:id="rId5" location="gid=283878249&amp;range=H75:I75" ref="H4"/>
  </hyperlinks>
  <drawing r:id="rId6"/>
  <legacyDrawing r:id="rId7"/>
  <tableParts count="1">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88"/>
    <col customWidth="1" min="2" max="2" width="9.38"/>
    <col customWidth="1" min="3" max="3" width="26.38"/>
    <col customWidth="1" min="4" max="5" width="15.75"/>
    <col customWidth="1" min="6" max="6" width="37.63"/>
    <col customWidth="1" min="7" max="7" width="15.75"/>
    <col customWidth="1" min="8" max="8" width="76.5"/>
    <col customWidth="1" min="9" max="25" width="4.88"/>
  </cols>
  <sheetData>
    <row r="1">
      <c r="A1" s="9"/>
      <c r="B1" s="9"/>
      <c r="C1" s="9"/>
      <c r="D1" s="9"/>
      <c r="E1" s="9"/>
      <c r="F1" s="9"/>
      <c r="G1" s="9"/>
      <c r="H1" s="9"/>
      <c r="I1" s="9"/>
      <c r="J1" s="9"/>
      <c r="K1" s="9"/>
      <c r="L1" s="9"/>
      <c r="M1" s="9"/>
      <c r="N1" s="9"/>
      <c r="O1" s="9"/>
      <c r="P1" s="9"/>
      <c r="Q1" s="9"/>
      <c r="R1" s="9"/>
      <c r="S1" s="9"/>
      <c r="T1" s="9"/>
      <c r="U1" s="9"/>
      <c r="V1" s="9"/>
      <c r="W1" s="9"/>
      <c r="X1" s="9"/>
      <c r="Y1" s="9"/>
    </row>
    <row r="2" ht="22.5" customHeight="1">
      <c r="A2" s="9"/>
      <c r="B2" s="10" t="s">
        <v>63</v>
      </c>
      <c r="C2" s="10" t="s">
        <v>64</v>
      </c>
      <c r="D2" s="10" t="s">
        <v>65</v>
      </c>
      <c r="E2" s="10" t="s">
        <v>66</v>
      </c>
      <c r="F2" s="10" t="s">
        <v>78</v>
      </c>
      <c r="G2" s="10" t="s">
        <v>68</v>
      </c>
      <c r="H2" s="10" t="s">
        <v>69</v>
      </c>
      <c r="I2" s="9"/>
      <c r="J2" s="9"/>
      <c r="K2" s="9"/>
      <c r="L2" s="9"/>
      <c r="M2" s="9"/>
      <c r="N2" s="9"/>
      <c r="O2" s="9"/>
      <c r="P2" s="9"/>
      <c r="Q2" s="9"/>
      <c r="R2" s="9"/>
      <c r="S2" s="9"/>
      <c r="T2" s="9"/>
      <c r="U2" s="9"/>
      <c r="V2" s="9"/>
      <c r="W2" s="9"/>
      <c r="X2" s="9"/>
      <c r="Y2" s="9"/>
    </row>
    <row r="3" ht="22.5" customHeight="1">
      <c r="A3" s="9"/>
      <c r="B3" s="11">
        <f t="shared" ref="B3:B6" si="1">ROW()-2</f>
        <v>1</v>
      </c>
      <c r="C3" s="12"/>
      <c r="D3" s="13"/>
      <c r="E3" s="14"/>
      <c r="F3" s="13"/>
      <c r="G3" s="13"/>
      <c r="H3" s="13"/>
      <c r="I3" s="9"/>
      <c r="J3" s="9"/>
      <c r="K3" s="9"/>
      <c r="L3" s="9"/>
      <c r="M3" s="9"/>
      <c r="N3" s="9"/>
      <c r="O3" s="9"/>
      <c r="P3" s="9"/>
      <c r="Q3" s="9"/>
      <c r="R3" s="9"/>
      <c r="S3" s="9"/>
      <c r="T3" s="9"/>
      <c r="U3" s="9"/>
      <c r="V3" s="9"/>
      <c r="W3" s="9"/>
      <c r="X3" s="9"/>
      <c r="Y3" s="9"/>
    </row>
    <row r="4" ht="22.5" customHeight="1">
      <c r="A4" s="9"/>
      <c r="B4" s="11">
        <f t="shared" si="1"/>
        <v>2</v>
      </c>
      <c r="C4" s="12"/>
      <c r="D4" s="13"/>
      <c r="E4" s="15"/>
      <c r="F4" s="18"/>
      <c r="G4" s="11"/>
      <c r="H4" s="18"/>
      <c r="I4" s="9"/>
      <c r="J4" s="9"/>
      <c r="K4" s="9"/>
      <c r="L4" s="9"/>
      <c r="M4" s="9"/>
      <c r="N4" s="9"/>
      <c r="O4" s="9"/>
      <c r="P4" s="9"/>
      <c r="Q4" s="9"/>
      <c r="R4" s="9"/>
      <c r="S4" s="9"/>
      <c r="T4" s="9"/>
      <c r="U4" s="9"/>
      <c r="V4" s="9"/>
      <c r="W4" s="9"/>
      <c r="X4" s="9"/>
      <c r="Y4" s="9"/>
    </row>
    <row r="5" ht="22.5" customHeight="1">
      <c r="A5" s="9"/>
      <c r="B5" s="11">
        <f t="shared" si="1"/>
        <v>3</v>
      </c>
      <c r="C5" s="17"/>
      <c r="D5" s="11"/>
      <c r="E5" s="11"/>
      <c r="F5" s="11"/>
      <c r="G5" s="11"/>
      <c r="H5" s="11"/>
      <c r="I5" s="9"/>
      <c r="J5" s="9"/>
      <c r="K5" s="9"/>
      <c r="L5" s="9"/>
      <c r="M5" s="9"/>
      <c r="N5" s="9"/>
      <c r="O5" s="9"/>
      <c r="P5" s="9"/>
      <c r="Q5" s="9"/>
      <c r="R5" s="9"/>
      <c r="S5" s="9"/>
      <c r="T5" s="9"/>
      <c r="U5" s="9"/>
      <c r="V5" s="9"/>
      <c r="W5" s="9"/>
      <c r="X5" s="9"/>
      <c r="Y5" s="9"/>
    </row>
    <row r="6" ht="22.5" customHeight="1">
      <c r="A6" s="9"/>
      <c r="B6" s="11">
        <f t="shared" si="1"/>
        <v>4</v>
      </c>
      <c r="C6" s="17"/>
      <c r="D6" s="11"/>
      <c r="E6" s="11"/>
      <c r="F6" s="11"/>
      <c r="G6" s="11"/>
      <c r="H6" s="11"/>
      <c r="I6" s="9"/>
      <c r="J6" s="9"/>
      <c r="K6" s="9"/>
      <c r="L6" s="9"/>
      <c r="M6" s="9"/>
      <c r="N6" s="9"/>
      <c r="O6" s="9"/>
      <c r="P6" s="9"/>
      <c r="Q6" s="9"/>
      <c r="R6" s="9"/>
      <c r="S6" s="9"/>
      <c r="T6" s="9"/>
      <c r="U6" s="9"/>
      <c r="V6" s="9"/>
      <c r="W6" s="9"/>
      <c r="X6" s="9"/>
      <c r="Y6" s="9"/>
    </row>
    <row r="7">
      <c r="A7" s="9"/>
      <c r="B7" s="9"/>
      <c r="C7" s="9"/>
      <c r="D7" s="9"/>
      <c r="E7" s="9"/>
      <c r="F7" s="9"/>
      <c r="G7" s="9"/>
      <c r="H7" s="9"/>
      <c r="I7" s="9"/>
      <c r="J7" s="9"/>
      <c r="K7" s="9"/>
      <c r="L7" s="9"/>
      <c r="M7" s="9"/>
      <c r="N7" s="9"/>
      <c r="O7" s="9"/>
      <c r="P7" s="9"/>
      <c r="Q7" s="9"/>
      <c r="R7" s="9"/>
      <c r="S7" s="9"/>
      <c r="T7" s="9"/>
      <c r="U7" s="9"/>
      <c r="V7" s="9"/>
      <c r="W7" s="9"/>
      <c r="X7" s="9"/>
      <c r="Y7" s="9"/>
    </row>
    <row r="8">
      <c r="A8" s="9"/>
      <c r="B8" s="9"/>
      <c r="C8" s="9"/>
      <c r="D8" s="9"/>
      <c r="E8" s="9"/>
      <c r="F8" s="9"/>
      <c r="G8" s="9"/>
      <c r="H8" s="9"/>
      <c r="I8" s="9"/>
      <c r="J8" s="9"/>
      <c r="K8" s="9"/>
      <c r="L8" s="9"/>
      <c r="M8" s="9"/>
      <c r="N8" s="9"/>
      <c r="O8" s="9"/>
      <c r="P8" s="9"/>
      <c r="Q8" s="9"/>
      <c r="R8" s="9"/>
      <c r="S8" s="9"/>
      <c r="T8" s="9"/>
      <c r="U8" s="9"/>
      <c r="V8" s="9"/>
      <c r="W8" s="9"/>
      <c r="X8" s="9"/>
      <c r="Y8" s="9"/>
    </row>
    <row r="9">
      <c r="A9" s="9"/>
      <c r="B9" s="9"/>
      <c r="C9" s="9"/>
      <c r="D9" s="9"/>
      <c r="E9" s="9"/>
      <c r="F9" s="9"/>
      <c r="G9" s="9"/>
      <c r="H9" s="9"/>
      <c r="I9" s="9"/>
      <c r="J9" s="9"/>
      <c r="K9" s="9"/>
      <c r="L9" s="9"/>
      <c r="M9" s="9"/>
      <c r="N9" s="9"/>
      <c r="O9" s="9"/>
      <c r="P9" s="9"/>
      <c r="Q9" s="9"/>
      <c r="R9" s="9"/>
      <c r="S9" s="9"/>
      <c r="T9" s="9"/>
      <c r="U9" s="9"/>
      <c r="V9" s="9"/>
      <c r="W9" s="9"/>
      <c r="X9" s="9"/>
      <c r="Y9" s="9"/>
    </row>
    <row r="10">
      <c r="A10" s="9"/>
      <c r="B10" s="9"/>
      <c r="C10" s="9"/>
      <c r="D10" s="9"/>
      <c r="E10" s="9"/>
      <c r="F10" s="9"/>
      <c r="G10" s="9"/>
      <c r="H10" s="9"/>
      <c r="I10" s="9"/>
      <c r="J10" s="9"/>
      <c r="K10" s="9"/>
      <c r="L10" s="9"/>
      <c r="M10" s="9"/>
      <c r="N10" s="9"/>
      <c r="O10" s="9"/>
      <c r="P10" s="9"/>
      <c r="Q10" s="9"/>
      <c r="R10" s="9"/>
      <c r="S10" s="9"/>
      <c r="T10" s="9"/>
      <c r="U10" s="9"/>
      <c r="V10" s="9"/>
      <c r="W10" s="9"/>
      <c r="X10" s="9"/>
      <c r="Y10" s="9"/>
    </row>
    <row r="11">
      <c r="A11" s="9"/>
      <c r="B11" s="9"/>
      <c r="C11" s="9"/>
      <c r="D11" s="9"/>
      <c r="E11" s="9"/>
      <c r="F11" s="9"/>
      <c r="G11" s="9"/>
      <c r="H11" s="9"/>
      <c r="I11" s="9"/>
      <c r="J11" s="9"/>
      <c r="K11" s="9"/>
      <c r="L11" s="9"/>
      <c r="M11" s="9"/>
      <c r="N11" s="9"/>
      <c r="O11" s="9"/>
      <c r="P11" s="9"/>
      <c r="Q11" s="9"/>
      <c r="R11" s="9"/>
      <c r="S11" s="9"/>
      <c r="T11" s="9"/>
      <c r="U11" s="9"/>
      <c r="V11" s="9"/>
      <c r="W11" s="9"/>
      <c r="X11" s="9"/>
      <c r="Y11" s="9"/>
    </row>
    <row r="12">
      <c r="A12" s="9"/>
      <c r="B12" s="9"/>
      <c r="C12" s="9"/>
      <c r="D12" s="9"/>
      <c r="E12" s="9"/>
      <c r="F12" s="9"/>
      <c r="G12" s="9"/>
      <c r="H12" s="9"/>
      <c r="I12" s="9"/>
      <c r="J12" s="9"/>
      <c r="K12" s="9"/>
      <c r="L12" s="9"/>
      <c r="M12" s="9"/>
      <c r="N12" s="9"/>
      <c r="O12" s="9"/>
      <c r="P12" s="9"/>
      <c r="Q12" s="9"/>
      <c r="R12" s="9"/>
      <c r="S12" s="9"/>
      <c r="T12" s="9"/>
      <c r="U12" s="9"/>
      <c r="V12" s="9"/>
      <c r="W12" s="9"/>
      <c r="X12" s="9"/>
      <c r="Y12" s="9"/>
    </row>
    <row r="13">
      <c r="A13" s="9"/>
      <c r="B13" s="9"/>
      <c r="C13" s="9"/>
      <c r="D13" s="9"/>
      <c r="E13" s="9"/>
      <c r="F13" s="9"/>
      <c r="G13" s="9"/>
      <c r="H13" s="9"/>
      <c r="I13" s="9"/>
      <c r="J13" s="9"/>
      <c r="K13" s="9"/>
      <c r="L13" s="9"/>
      <c r="M13" s="9"/>
      <c r="N13" s="9"/>
      <c r="O13" s="9"/>
      <c r="P13" s="9"/>
      <c r="Q13" s="9"/>
      <c r="R13" s="9"/>
      <c r="S13" s="9"/>
      <c r="T13" s="9"/>
      <c r="U13" s="9"/>
      <c r="V13" s="9"/>
      <c r="W13" s="9"/>
      <c r="X13" s="9"/>
      <c r="Y13" s="9"/>
    </row>
    <row r="14">
      <c r="A14" s="9"/>
      <c r="B14" s="9"/>
      <c r="C14" s="9"/>
      <c r="D14" s="9"/>
      <c r="E14" s="9"/>
      <c r="F14" s="9"/>
      <c r="G14" s="9"/>
      <c r="H14" s="9"/>
      <c r="I14" s="9"/>
      <c r="J14" s="9"/>
      <c r="K14" s="9"/>
      <c r="L14" s="9"/>
      <c r="M14" s="9"/>
      <c r="N14" s="9"/>
      <c r="O14" s="9"/>
      <c r="P14" s="9"/>
      <c r="Q14" s="9"/>
      <c r="R14" s="9"/>
      <c r="S14" s="9"/>
      <c r="T14" s="9"/>
      <c r="U14" s="9"/>
      <c r="V14" s="9"/>
      <c r="W14" s="9"/>
      <c r="X14" s="9"/>
      <c r="Y14" s="9"/>
    </row>
    <row r="15">
      <c r="A15" s="9"/>
      <c r="B15" s="9"/>
      <c r="C15" s="9"/>
      <c r="D15" s="9"/>
      <c r="E15" s="9"/>
      <c r="F15" s="9"/>
      <c r="G15" s="9"/>
      <c r="H15" s="9"/>
      <c r="I15" s="9"/>
      <c r="J15" s="9"/>
      <c r="K15" s="9"/>
      <c r="L15" s="9"/>
      <c r="M15" s="9"/>
      <c r="N15" s="9"/>
      <c r="O15" s="9"/>
      <c r="P15" s="9"/>
      <c r="Q15" s="9"/>
      <c r="R15" s="9"/>
      <c r="S15" s="9"/>
      <c r="T15" s="9"/>
      <c r="U15" s="9"/>
      <c r="V15" s="9"/>
      <c r="W15" s="9"/>
      <c r="X15" s="9"/>
      <c r="Y15" s="9"/>
    </row>
    <row r="16">
      <c r="A16" s="9"/>
      <c r="B16" s="9"/>
      <c r="C16" s="9"/>
      <c r="D16" s="9"/>
      <c r="E16" s="9"/>
      <c r="F16" s="9"/>
      <c r="G16" s="9"/>
      <c r="H16" s="9"/>
      <c r="I16" s="9"/>
      <c r="J16" s="9"/>
      <c r="K16" s="9"/>
      <c r="L16" s="9"/>
      <c r="M16" s="9"/>
      <c r="N16" s="9"/>
      <c r="O16" s="9"/>
      <c r="P16" s="9"/>
      <c r="Q16" s="9"/>
      <c r="R16" s="9"/>
      <c r="S16" s="9"/>
      <c r="T16" s="9"/>
      <c r="U16" s="9"/>
      <c r="V16" s="9"/>
      <c r="W16" s="9"/>
      <c r="X16" s="9"/>
      <c r="Y16" s="9"/>
    </row>
    <row r="17">
      <c r="A17" s="9"/>
      <c r="B17" s="9"/>
      <c r="C17" s="9"/>
      <c r="D17" s="9"/>
      <c r="E17" s="9"/>
      <c r="F17" s="9"/>
      <c r="G17" s="9"/>
      <c r="H17" s="9"/>
      <c r="I17" s="9"/>
      <c r="J17" s="9"/>
      <c r="K17" s="9"/>
      <c r="L17" s="9"/>
      <c r="M17" s="9"/>
      <c r="N17" s="9"/>
      <c r="O17" s="9"/>
      <c r="P17" s="9"/>
      <c r="Q17" s="9"/>
      <c r="R17" s="9"/>
      <c r="S17" s="9"/>
      <c r="T17" s="9"/>
      <c r="U17" s="9"/>
      <c r="V17" s="9"/>
      <c r="W17" s="9"/>
      <c r="X17" s="9"/>
      <c r="Y17" s="9"/>
    </row>
    <row r="18">
      <c r="A18" s="9"/>
      <c r="B18" s="9"/>
      <c r="C18" s="9"/>
      <c r="D18" s="9"/>
      <c r="E18" s="9"/>
      <c r="F18" s="9"/>
      <c r="G18" s="9"/>
      <c r="H18" s="9"/>
      <c r="I18" s="9"/>
      <c r="J18" s="9"/>
      <c r="K18" s="9"/>
      <c r="L18" s="9"/>
      <c r="M18" s="9"/>
      <c r="N18" s="9"/>
      <c r="O18" s="9"/>
      <c r="P18" s="9"/>
      <c r="Q18" s="9"/>
      <c r="R18" s="9"/>
      <c r="S18" s="9"/>
      <c r="T18" s="9"/>
      <c r="U18" s="9"/>
      <c r="V18" s="9"/>
      <c r="W18" s="9"/>
      <c r="X18" s="9"/>
      <c r="Y18" s="9"/>
    </row>
    <row r="19">
      <c r="A19" s="9"/>
      <c r="B19" s="9"/>
      <c r="C19" s="9"/>
      <c r="D19" s="9"/>
      <c r="E19" s="9"/>
      <c r="F19" s="9"/>
      <c r="G19" s="9"/>
      <c r="H19" s="9"/>
      <c r="I19" s="9"/>
      <c r="J19" s="9"/>
      <c r="K19" s="9"/>
      <c r="L19" s="9"/>
      <c r="M19" s="9"/>
      <c r="N19" s="9"/>
      <c r="O19" s="9"/>
      <c r="P19" s="9"/>
      <c r="Q19" s="9"/>
      <c r="R19" s="9"/>
      <c r="S19" s="9"/>
      <c r="T19" s="9"/>
      <c r="U19" s="9"/>
      <c r="V19" s="9"/>
      <c r="W19" s="9"/>
      <c r="X19" s="9"/>
      <c r="Y19" s="9"/>
    </row>
    <row r="20">
      <c r="A20" s="9"/>
      <c r="B20" s="9"/>
      <c r="C20" s="9"/>
      <c r="D20" s="9"/>
      <c r="E20" s="9"/>
      <c r="F20" s="9"/>
      <c r="G20" s="9"/>
      <c r="H20" s="9"/>
      <c r="I20" s="9"/>
      <c r="J20" s="9"/>
      <c r="K20" s="9"/>
      <c r="L20" s="9"/>
      <c r="M20" s="9"/>
      <c r="N20" s="9"/>
      <c r="O20" s="9"/>
      <c r="P20" s="9"/>
      <c r="Q20" s="9"/>
      <c r="R20" s="9"/>
      <c r="S20" s="9"/>
      <c r="T20" s="9"/>
      <c r="U20" s="9"/>
      <c r="V20" s="9"/>
      <c r="W20" s="9"/>
      <c r="X20" s="9"/>
      <c r="Y20" s="9"/>
    </row>
    <row r="21">
      <c r="A21" s="9"/>
      <c r="B21" s="9"/>
      <c r="C21" s="9"/>
      <c r="D21" s="9"/>
      <c r="E21" s="9"/>
      <c r="F21" s="9"/>
      <c r="G21" s="9"/>
      <c r="H21" s="9"/>
      <c r="I21" s="9"/>
      <c r="J21" s="9"/>
      <c r="K21" s="9"/>
      <c r="L21" s="9"/>
      <c r="M21" s="9"/>
      <c r="N21" s="9"/>
      <c r="O21" s="9"/>
      <c r="P21" s="9"/>
      <c r="Q21" s="9"/>
      <c r="R21" s="9"/>
      <c r="S21" s="9"/>
      <c r="T21" s="9"/>
      <c r="U21" s="9"/>
      <c r="V21" s="9"/>
      <c r="W21" s="9"/>
      <c r="X21" s="9"/>
      <c r="Y21" s="9"/>
    </row>
    <row r="22">
      <c r="A22" s="9"/>
      <c r="B22" s="9"/>
      <c r="C22" s="9"/>
      <c r="D22" s="9"/>
      <c r="E22" s="9"/>
      <c r="F22" s="9"/>
      <c r="G22" s="9"/>
      <c r="H22" s="9"/>
      <c r="I22" s="9"/>
      <c r="J22" s="9"/>
      <c r="K22" s="9"/>
      <c r="L22" s="9"/>
      <c r="M22" s="9"/>
      <c r="N22" s="9"/>
      <c r="O22" s="9"/>
      <c r="P22" s="9"/>
      <c r="Q22" s="9"/>
      <c r="R22" s="9"/>
      <c r="S22" s="9"/>
      <c r="T22" s="9"/>
      <c r="U22" s="9"/>
      <c r="V22" s="9"/>
      <c r="W22" s="9"/>
      <c r="X22" s="9"/>
      <c r="Y22" s="9"/>
    </row>
    <row r="23">
      <c r="A23" s="9"/>
      <c r="B23" s="9"/>
      <c r="C23" s="9"/>
      <c r="D23" s="9"/>
      <c r="E23" s="9"/>
      <c r="F23" s="9"/>
      <c r="G23" s="9"/>
      <c r="H23" s="9"/>
      <c r="I23" s="9"/>
      <c r="J23" s="9"/>
      <c r="K23" s="9"/>
      <c r="L23" s="9"/>
      <c r="M23" s="9"/>
      <c r="N23" s="9"/>
      <c r="O23" s="9"/>
      <c r="P23" s="9"/>
      <c r="Q23" s="9"/>
      <c r="R23" s="9"/>
      <c r="S23" s="9"/>
      <c r="T23" s="9"/>
      <c r="U23" s="9"/>
      <c r="V23" s="9"/>
      <c r="W23" s="9"/>
      <c r="X23" s="9"/>
      <c r="Y23" s="9"/>
    </row>
    <row r="24">
      <c r="A24" s="9"/>
      <c r="B24" s="9"/>
      <c r="C24" s="9"/>
      <c r="D24" s="9"/>
      <c r="E24" s="9"/>
      <c r="F24" s="9"/>
      <c r="G24" s="9"/>
      <c r="H24" s="9"/>
      <c r="I24" s="9"/>
      <c r="J24" s="9"/>
      <c r="K24" s="9"/>
      <c r="L24" s="9"/>
      <c r="M24" s="9"/>
      <c r="N24" s="9"/>
      <c r="O24" s="9"/>
      <c r="P24" s="9"/>
      <c r="Q24" s="9"/>
      <c r="R24" s="9"/>
      <c r="S24" s="9"/>
      <c r="T24" s="9"/>
      <c r="U24" s="9"/>
      <c r="V24" s="9"/>
      <c r="W24" s="9"/>
      <c r="X24" s="9"/>
      <c r="Y24" s="9"/>
    </row>
    <row r="25">
      <c r="A25" s="9"/>
      <c r="B25" s="9"/>
      <c r="C25" s="9"/>
      <c r="D25" s="9"/>
      <c r="E25" s="9"/>
      <c r="F25" s="9"/>
      <c r="G25" s="9"/>
      <c r="H25" s="9"/>
      <c r="I25" s="9"/>
      <c r="J25" s="9"/>
      <c r="K25" s="9"/>
      <c r="L25" s="9"/>
      <c r="M25" s="9"/>
      <c r="N25" s="9"/>
      <c r="O25" s="9"/>
      <c r="P25" s="9"/>
      <c r="Q25" s="9"/>
      <c r="R25" s="9"/>
      <c r="S25" s="9"/>
      <c r="T25" s="9"/>
      <c r="U25" s="9"/>
      <c r="V25" s="9"/>
      <c r="W25" s="9"/>
      <c r="X25" s="9"/>
      <c r="Y25" s="9"/>
    </row>
    <row r="26">
      <c r="A26" s="9"/>
      <c r="B26" s="9"/>
      <c r="C26" s="9"/>
      <c r="D26" s="9"/>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dataValidations>
    <dataValidation type="list" allowBlank="1" showErrorMessage="1" sqref="C3:C6">
      <formula1>"TS確認、TS対応中,TS対応済み、起票者確認中,完了,起票者対応、TS確認待ち"</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0.5"/>
    <col customWidth="1" min="2" max="2" width="13.88"/>
    <col customWidth="1" min="3" max="3" width="28.13"/>
    <col customWidth="1" min="4" max="4" width="34.0"/>
    <col customWidth="1" min="5" max="5" width="13.75"/>
    <col customWidth="1" min="6" max="6" width="10.5"/>
    <col customWidth="1" min="7" max="7" width="12.25"/>
    <col customWidth="1" min="8" max="8" width="12.13"/>
    <col customWidth="1" min="9" max="9" width="15.0"/>
    <col customWidth="1" min="10" max="10" width="14.38"/>
    <col customWidth="1" min="11" max="11" width="11.75"/>
    <col customWidth="1" min="12" max="12" width="16.5"/>
    <col customWidth="1" min="13" max="13" width="13.75"/>
    <col customWidth="1" min="14" max="14" width="13.63"/>
    <col customWidth="1" min="15" max="15" width="58.88"/>
    <col customWidth="1" min="16" max="18" width="10.25"/>
  </cols>
  <sheetData>
    <row r="1" ht="24.75" customHeight="1">
      <c r="A1" s="19"/>
      <c r="B1" s="19"/>
      <c r="D1" s="20" t="s">
        <v>79</v>
      </c>
      <c r="E1" s="21">
        <f>COUNTIFS(ブレケケ稼働開始[開始予定日],"&lt;="&amp;TODAY(),ブレケケ稼働開始[状態],"未着手")</f>
        <v>1</v>
      </c>
      <c r="F1" s="22" t="s">
        <v>80</v>
      </c>
      <c r="G1" s="23"/>
      <c r="H1" s="24"/>
      <c r="I1" s="25"/>
      <c r="J1" s="26"/>
      <c r="K1" s="19" t="s">
        <v>81</v>
      </c>
      <c r="L1" s="26"/>
      <c r="M1" s="26"/>
      <c r="N1" s="26"/>
      <c r="O1" s="26"/>
      <c r="P1" s="27"/>
      <c r="Q1" s="27"/>
      <c r="R1" s="27"/>
      <c r="AA1" s="9"/>
      <c r="AB1" s="9"/>
      <c r="AC1" s="9"/>
      <c r="AD1" s="9"/>
      <c r="AE1" s="9"/>
      <c r="AF1" s="9"/>
    </row>
    <row r="2" ht="24.75" customHeight="1">
      <c r="A2" s="19"/>
      <c r="B2" s="19"/>
      <c r="D2" s="28" t="s">
        <v>82</v>
      </c>
      <c r="E2" s="29">
        <f>COUNTIFS(ブレケケ稼働開始[終了予定日],"&lt;="&amp;Workday(TODAY(),3),ブレケケ稼働開始[終了予定日],"&gt;"&amp;TODAY,ブレケケ稼働開始[状態],"&lt;&gt;完了")</f>
        <v>0</v>
      </c>
      <c r="F2" s="30" t="s">
        <v>83</v>
      </c>
      <c r="G2" s="31"/>
      <c r="H2" s="32"/>
      <c r="I2" s="33"/>
      <c r="J2" s="26"/>
      <c r="K2" s="19" t="s">
        <v>84</v>
      </c>
      <c r="L2" s="26"/>
      <c r="M2" s="26"/>
      <c r="N2" s="26"/>
      <c r="O2" s="26"/>
      <c r="P2" s="27"/>
      <c r="Q2" s="27"/>
      <c r="R2" s="27"/>
      <c r="AA2" s="9"/>
      <c r="AB2" s="9"/>
      <c r="AC2" s="9"/>
      <c r="AD2" s="9"/>
      <c r="AE2" s="9"/>
      <c r="AF2" s="9"/>
    </row>
    <row r="3" ht="24.75" customHeight="1">
      <c r="A3" s="19"/>
      <c r="B3" s="19"/>
      <c r="D3" s="34" t="s">
        <v>85</v>
      </c>
      <c r="E3" s="35">
        <f>COUNTIFS(ブレケケ稼働開始[終了予定日],"&lt;="&amp;TODAY(),ブレケケ稼働開始[状態],"&lt;&gt;完了")</f>
        <v>10</v>
      </c>
      <c r="F3" s="36" t="s">
        <v>86</v>
      </c>
      <c r="G3" s="37"/>
      <c r="H3" s="38"/>
      <c r="I3" s="39"/>
      <c r="J3" s="26"/>
      <c r="K3" s="19"/>
      <c r="L3" s="26"/>
      <c r="M3" s="26"/>
      <c r="N3" s="26"/>
      <c r="O3" s="26"/>
      <c r="P3" s="40">
        <f>WORKDAY(today(),3)</f>
        <v>46106</v>
      </c>
      <c r="Q3" s="40">
        <f>TODAY()-1</f>
        <v>46102</v>
      </c>
      <c r="R3" s="41">
        <f>TODAY()</f>
        <v>46103</v>
      </c>
      <c r="AA3" s="9"/>
      <c r="AB3" s="9"/>
      <c r="AC3" s="9"/>
      <c r="AD3" s="9"/>
      <c r="AE3" s="9"/>
      <c r="AF3" s="9"/>
    </row>
    <row r="4" ht="24.75" customHeight="1">
      <c r="A4" s="42" t="s">
        <v>87</v>
      </c>
      <c r="B4" s="42" t="s">
        <v>88</v>
      </c>
      <c r="C4" s="42" t="s">
        <v>89</v>
      </c>
      <c r="D4" s="42" t="s">
        <v>90</v>
      </c>
      <c r="E4" s="43" t="s">
        <v>91</v>
      </c>
      <c r="F4" s="43" t="s">
        <v>92</v>
      </c>
      <c r="G4" s="43" t="s">
        <v>93</v>
      </c>
      <c r="H4" s="43" t="s">
        <v>94</v>
      </c>
      <c r="I4" s="43" t="s">
        <v>95</v>
      </c>
      <c r="J4" s="43" t="s">
        <v>96</v>
      </c>
      <c r="K4" s="43" t="s">
        <v>97</v>
      </c>
      <c r="L4" s="43" t="s">
        <v>98</v>
      </c>
      <c r="M4" s="43" t="s">
        <v>99</v>
      </c>
      <c r="N4" s="43" t="s">
        <v>100</v>
      </c>
      <c r="O4" s="43" t="s">
        <v>5</v>
      </c>
      <c r="P4" s="44" t="s">
        <v>101</v>
      </c>
      <c r="Q4" s="44" t="s">
        <v>102</v>
      </c>
      <c r="R4" s="45" t="s">
        <v>103</v>
      </c>
      <c r="AA4" s="9"/>
      <c r="AB4" s="9"/>
      <c r="AC4" s="9"/>
      <c r="AD4" s="9"/>
      <c r="AE4" s="9"/>
      <c r="AF4" s="9"/>
    </row>
    <row r="5" ht="32.25" customHeight="1">
      <c r="A5" s="46" t="s">
        <v>104</v>
      </c>
      <c r="B5" s="46" t="s">
        <v>105</v>
      </c>
      <c r="C5" s="13" t="s">
        <v>106</v>
      </c>
      <c r="D5" s="13" t="s">
        <v>107</v>
      </c>
      <c r="E5" s="47" t="s">
        <v>108</v>
      </c>
      <c r="F5" s="47" t="s">
        <v>109</v>
      </c>
      <c r="G5" s="48" t="s">
        <v>110</v>
      </c>
      <c r="H5" s="49" t="s">
        <v>22</v>
      </c>
      <c r="I5" s="49" t="s">
        <v>111</v>
      </c>
      <c r="J5" s="50">
        <v>45874.0</v>
      </c>
      <c r="K5" s="50">
        <v>45874.0</v>
      </c>
      <c r="L5" s="50">
        <v>45891.0</v>
      </c>
      <c r="M5" s="50">
        <v>45894.0</v>
      </c>
      <c r="N5" s="51"/>
      <c r="O5" s="52" t="s">
        <v>112</v>
      </c>
      <c r="P5" s="53" t="b">
        <f t="shared" ref="P5:Q5" si="1">IF($L5="","",$L5&lt;P$3)</f>
        <v>1</v>
      </c>
      <c r="Q5" s="53" t="b">
        <f t="shared" si="1"/>
        <v>1</v>
      </c>
      <c r="R5" s="53" t="b">
        <f t="shared" ref="R5:R36" si="3">IF(J5="","",J5&lt;=R$3)</f>
        <v>1</v>
      </c>
    </row>
    <row r="6" ht="32.25" customHeight="1">
      <c r="A6" s="46" t="s">
        <v>104</v>
      </c>
      <c r="B6" s="46" t="s">
        <v>105</v>
      </c>
      <c r="C6" s="13" t="s">
        <v>113</v>
      </c>
      <c r="D6" s="13" t="s">
        <v>114</v>
      </c>
      <c r="E6" s="47" t="s">
        <v>108</v>
      </c>
      <c r="F6" s="47" t="s">
        <v>109</v>
      </c>
      <c r="G6" s="47" t="s">
        <v>115</v>
      </c>
      <c r="H6" s="49" t="s">
        <v>22</v>
      </c>
      <c r="I6" s="49" t="s">
        <v>111</v>
      </c>
      <c r="J6" s="50">
        <v>45874.0</v>
      </c>
      <c r="K6" s="50">
        <v>45874.0</v>
      </c>
      <c r="L6" s="50">
        <v>45891.0</v>
      </c>
      <c r="M6" s="50">
        <v>45894.0</v>
      </c>
      <c r="N6" s="51"/>
      <c r="O6" s="54"/>
      <c r="P6" s="53" t="b">
        <f t="shared" ref="P6:Q6" si="2">IF($L6="","",$L6&lt;P$3)</f>
        <v>1</v>
      </c>
      <c r="Q6" s="53" t="b">
        <f t="shared" si="2"/>
        <v>1</v>
      </c>
      <c r="R6" s="53" t="b">
        <f t="shared" si="3"/>
        <v>1</v>
      </c>
    </row>
    <row r="7" ht="207.75" customHeight="1">
      <c r="A7" s="46" t="s">
        <v>104</v>
      </c>
      <c r="B7" s="46" t="s">
        <v>105</v>
      </c>
      <c r="C7" s="13" t="s">
        <v>116</v>
      </c>
      <c r="D7" s="13" t="s">
        <v>117</v>
      </c>
      <c r="E7" s="47" t="s">
        <v>118</v>
      </c>
      <c r="F7" s="55" t="s">
        <v>119</v>
      </c>
      <c r="G7" s="56" t="s">
        <v>120</v>
      </c>
      <c r="H7" s="57" t="s">
        <v>22</v>
      </c>
      <c r="I7" s="57" t="s">
        <v>121</v>
      </c>
      <c r="J7" s="58">
        <v>45874.0</v>
      </c>
      <c r="K7" s="58">
        <v>45877.0</v>
      </c>
      <c r="L7" s="58">
        <v>45904.0</v>
      </c>
      <c r="M7" s="58"/>
      <c r="N7" s="59"/>
      <c r="O7" s="13" t="s">
        <v>122</v>
      </c>
      <c r="P7" s="53" t="b">
        <f t="shared" ref="P7:Q7" si="4">IF($L7="","",$L7&lt;P$3)</f>
        <v>1</v>
      </c>
      <c r="Q7" s="53" t="b">
        <f t="shared" si="4"/>
        <v>1</v>
      </c>
      <c r="R7" s="53" t="b">
        <f t="shared" si="3"/>
        <v>1</v>
      </c>
    </row>
    <row r="8" ht="113.25" customHeight="1">
      <c r="A8" s="46" t="s">
        <v>104</v>
      </c>
      <c r="B8" s="46" t="s">
        <v>105</v>
      </c>
      <c r="C8" s="13" t="s">
        <v>123</v>
      </c>
      <c r="D8" s="13" t="s">
        <v>124</v>
      </c>
      <c r="E8" s="47" t="s">
        <v>125</v>
      </c>
      <c r="F8" s="47" t="s">
        <v>109</v>
      </c>
      <c r="G8" s="48" t="s">
        <v>126</v>
      </c>
      <c r="H8" s="49" t="s">
        <v>22</v>
      </c>
      <c r="I8" s="49" t="s">
        <v>121</v>
      </c>
      <c r="J8" s="50">
        <v>45875.0</v>
      </c>
      <c r="K8" s="50">
        <v>45875.0</v>
      </c>
      <c r="L8" s="60">
        <v>45908.0</v>
      </c>
      <c r="M8" s="50">
        <v>45910.0</v>
      </c>
      <c r="N8" s="51"/>
      <c r="O8" s="52" t="s">
        <v>127</v>
      </c>
      <c r="P8" s="53" t="b">
        <f t="shared" ref="P8:Q8" si="5">IF($L8="","",$L8&lt;P$3)</f>
        <v>1</v>
      </c>
      <c r="Q8" s="53" t="b">
        <f t="shared" si="5"/>
        <v>1</v>
      </c>
      <c r="R8" s="53" t="b">
        <f t="shared" si="3"/>
        <v>1</v>
      </c>
    </row>
    <row r="9" ht="70.5" customHeight="1">
      <c r="A9" s="46" t="s">
        <v>104</v>
      </c>
      <c r="B9" s="46" t="s">
        <v>128</v>
      </c>
      <c r="C9" s="13" t="s">
        <v>129</v>
      </c>
      <c r="D9" s="13" t="s">
        <v>130</v>
      </c>
      <c r="E9" s="47" t="s">
        <v>108</v>
      </c>
      <c r="F9" s="47" t="s">
        <v>131</v>
      </c>
      <c r="G9" s="61" t="s">
        <v>132</v>
      </c>
      <c r="H9" s="49" t="s">
        <v>22</v>
      </c>
      <c r="I9" s="49" t="s">
        <v>111</v>
      </c>
      <c r="J9" s="62"/>
      <c r="K9" s="62"/>
      <c r="L9" s="62"/>
      <c r="M9" s="62"/>
      <c r="N9" s="51"/>
      <c r="O9" s="52" t="s">
        <v>133</v>
      </c>
      <c r="P9" s="53" t="str">
        <f t="shared" ref="P9:Q9" si="6">IF($L9="","",$L9&lt;P$3)</f>
        <v/>
      </c>
      <c r="Q9" s="53" t="str">
        <f t="shared" si="6"/>
        <v/>
      </c>
      <c r="R9" s="53" t="str">
        <f t="shared" si="3"/>
        <v/>
      </c>
    </row>
    <row r="10" ht="32.25" customHeight="1">
      <c r="A10" s="46" t="s">
        <v>104</v>
      </c>
      <c r="B10" s="46" t="s">
        <v>134</v>
      </c>
      <c r="C10" s="13" t="s">
        <v>135</v>
      </c>
      <c r="D10" s="13" t="s">
        <v>136</v>
      </c>
      <c r="E10" s="47" t="s">
        <v>118</v>
      </c>
      <c r="F10" s="47" t="s">
        <v>119</v>
      </c>
      <c r="G10" s="61" t="s">
        <v>137</v>
      </c>
      <c r="H10" s="49" t="s">
        <v>22</v>
      </c>
      <c r="I10" s="49" t="s">
        <v>111</v>
      </c>
      <c r="J10" s="58">
        <v>45922.0</v>
      </c>
      <c r="K10" s="63"/>
      <c r="L10" s="58"/>
      <c r="M10" s="63"/>
      <c r="N10" s="59"/>
      <c r="O10" s="13" t="s">
        <v>138</v>
      </c>
      <c r="P10" s="53" t="str">
        <f t="shared" ref="P10:Q10" si="7">IF($L10="","",$L10&lt;P$3)</f>
        <v/>
      </c>
      <c r="Q10" s="53" t="str">
        <f t="shared" si="7"/>
        <v/>
      </c>
      <c r="R10" s="53" t="b">
        <f t="shared" si="3"/>
        <v>1</v>
      </c>
    </row>
    <row r="11" ht="22.5" customHeight="1">
      <c r="A11" s="64" t="s">
        <v>104</v>
      </c>
      <c r="B11" s="64" t="s">
        <v>105</v>
      </c>
      <c r="C11" s="52" t="s">
        <v>139</v>
      </c>
      <c r="D11" s="52" t="s">
        <v>140</v>
      </c>
      <c r="E11" s="47" t="s">
        <v>118</v>
      </c>
      <c r="F11" s="47" t="s">
        <v>131</v>
      </c>
      <c r="G11" s="61" t="s">
        <v>141</v>
      </c>
      <c r="H11" s="49" t="s">
        <v>22</v>
      </c>
      <c r="I11" s="49" t="s">
        <v>111</v>
      </c>
      <c r="J11" s="50">
        <v>45875.0</v>
      </c>
      <c r="K11" s="50">
        <v>45877.0</v>
      </c>
      <c r="L11" s="50">
        <v>45891.0</v>
      </c>
      <c r="M11" s="50">
        <v>45891.0</v>
      </c>
      <c r="N11" s="51"/>
      <c r="O11" s="65" t="s">
        <v>142</v>
      </c>
      <c r="P11" s="53" t="b">
        <f t="shared" ref="P11:Q11" si="8">IF($L11="","",$L11&lt;P$3)</f>
        <v>1</v>
      </c>
      <c r="Q11" s="53" t="b">
        <f t="shared" si="8"/>
        <v>1</v>
      </c>
      <c r="R11" s="53" t="b">
        <f t="shared" si="3"/>
        <v>1</v>
      </c>
    </row>
    <row r="12" ht="159.0" customHeight="1">
      <c r="A12" s="64" t="s">
        <v>104</v>
      </c>
      <c r="B12" s="64" t="s">
        <v>105</v>
      </c>
      <c r="C12" s="52" t="s">
        <v>143</v>
      </c>
      <c r="D12" s="52" t="s">
        <v>144</v>
      </c>
      <c r="E12" s="47" t="s">
        <v>125</v>
      </c>
      <c r="F12" s="47" t="s">
        <v>109</v>
      </c>
      <c r="G12" s="66" t="s">
        <v>145</v>
      </c>
      <c r="H12" s="49" t="s">
        <v>22</v>
      </c>
      <c r="I12" s="67" t="s">
        <v>121</v>
      </c>
      <c r="J12" s="60">
        <v>45875.0</v>
      </c>
      <c r="K12" s="60">
        <v>45877.0</v>
      </c>
      <c r="L12" s="60">
        <v>45908.0</v>
      </c>
      <c r="M12" s="60">
        <v>45912.0</v>
      </c>
      <c r="N12" s="68"/>
      <c r="O12" s="69" t="s">
        <v>146</v>
      </c>
      <c r="P12" s="53" t="b">
        <f t="shared" ref="P12:Q12" si="9">IF($L12="","",$L12&lt;P$3)</f>
        <v>1</v>
      </c>
      <c r="Q12" s="53" t="b">
        <f t="shared" si="9"/>
        <v>1</v>
      </c>
      <c r="R12" s="53" t="b">
        <f t="shared" si="3"/>
        <v>1</v>
      </c>
    </row>
    <row r="13" ht="32.25" customHeight="1">
      <c r="A13" s="64" t="s">
        <v>104</v>
      </c>
      <c r="B13" s="52" t="s">
        <v>147</v>
      </c>
      <c r="C13" s="52" t="s">
        <v>148</v>
      </c>
      <c r="D13" s="52" t="s">
        <v>149</v>
      </c>
      <c r="E13" s="47" t="s">
        <v>108</v>
      </c>
      <c r="F13" s="47" t="s">
        <v>109</v>
      </c>
      <c r="G13" s="66" t="s">
        <v>150</v>
      </c>
      <c r="H13" s="49" t="s">
        <v>22</v>
      </c>
      <c r="I13" s="67"/>
      <c r="J13" s="60">
        <v>45905.0</v>
      </c>
      <c r="K13" s="70"/>
      <c r="L13" s="70"/>
      <c r="M13" s="70"/>
      <c r="N13" s="68"/>
      <c r="O13" s="52" t="s">
        <v>151</v>
      </c>
      <c r="P13" s="53" t="str">
        <f t="shared" ref="P13:Q13" si="10">IF($L13="","",$L13&lt;P$3)</f>
        <v/>
      </c>
      <c r="Q13" s="53" t="str">
        <f t="shared" si="10"/>
        <v/>
      </c>
      <c r="R13" s="53" t="b">
        <f t="shared" si="3"/>
        <v>1</v>
      </c>
    </row>
    <row r="14" ht="67.5" customHeight="1">
      <c r="A14" s="64" t="s">
        <v>104</v>
      </c>
      <c r="B14" s="64" t="s">
        <v>105</v>
      </c>
      <c r="C14" s="52" t="s">
        <v>152</v>
      </c>
      <c r="D14" s="52" t="s">
        <v>153</v>
      </c>
      <c r="E14" s="47" t="s">
        <v>118</v>
      </c>
      <c r="F14" s="47" t="s">
        <v>131</v>
      </c>
      <c r="G14" s="66" t="s">
        <v>154</v>
      </c>
      <c r="H14" s="49" t="s">
        <v>22</v>
      </c>
      <c r="I14" s="67" t="s">
        <v>121</v>
      </c>
      <c r="J14" s="60">
        <v>45880.0</v>
      </c>
      <c r="K14" s="60">
        <v>45882.0</v>
      </c>
      <c r="L14" s="60">
        <v>45903.0</v>
      </c>
      <c r="M14" s="60">
        <v>45905.0</v>
      </c>
      <c r="N14" s="68"/>
      <c r="O14" s="52" t="s">
        <v>155</v>
      </c>
      <c r="P14" s="53" t="b">
        <f t="shared" ref="P14:Q14" si="11">IF($L14="","",$L14&lt;P$3)</f>
        <v>1</v>
      </c>
      <c r="Q14" s="53" t="b">
        <f t="shared" si="11"/>
        <v>1</v>
      </c>
      <c r="R14" s="53" t="b">
        <f t="shared" si="3"/>
        <v>1</v>
      </c>
    </row>
    <row r="15" ht="81.0" customHeight="1">
      <c r="A15" s="64" t="s">
        <v>104</v>
      </c>
      <c r="B15" s="71" t="s">
        <v>156</v>
      </c>
      <c r="C15" s="71" t="s">
        <v>157</v>
      </c>
      <c r="D15" s="52" t="s">
        <v>158</v>
      </c>
      <c r="E15" s="47" t="s">
        <v>118</v>
      </c>
      <c r="F15" s="47" t="s">
        <v>131</v>
      </c>
      <c r="G15" s="66" t="s">
        <v>150</v>
      </c>
      <c r="H15" s="49" t="s">
        <v>22</v>
      </c>
      <c r="I15" s="67" t="s">
        <v>111</v>
      </c>
      <c r="J15" s="60">
        <v>45909.0</v>
      </c>
      <c r="K15" s="60">
        <v>45909.0</v>
      </c>
      <c r="L15" s="60">
        <v>45912.0</v>
      </c>
      <c r="M15" s="60"/>
      <c r="N15" s="68"/>
      <c r="O15" s="65" t="s">
        <v>159</v>
      </c>
      <c r="P15" s="53" t="b">
        <f t="shared" ref="P15:Q15" si="12">IF($L15="","",$L15&lt;P$3)</f>
        <v>1</v>
      </c>
      <c r="Q15" s="53" t="b">
        <f t="shared" si="12"/>
        <v>1</v>
      </c>
      <c r="R15" s="53" t="b">
        <f t="shared" si="3"/>
        <v>1</v>
      </c>
    </row>
    <row r="16" ht="22.5" customHeight="1">
      <c r="A16" s="64" t="s">
        <v>104</v>
      </c>
      <c r="B16" s="64" t="s">
        <v>105</v>
      </c>
      <c r="C16" s="52" t="s">
        <v>160</v>
      </c>
      <c r="D16" s="52" t="s">
        <v>161</v>
      </c>
      <c r="E16" s="47" t="s">
        <v>118</v>
      </c>
      <c r="F16" s="47" t="s">
        <v>131</v>
      </c>
      <c r="G16" s="72" t="s">
        <v>162</v>
      </c>
      <c r="H16" s="49" t="s">
        <v>22</v>
      </c>
      <c r="I16" s="49" t="s">
        <v>111</v>
      </c>
      <c r="J16" s="58">
        <v>45922.0</v>
      </c>
      <c r="K16" s="73"/>
      <c r="L16" s="74"/>
      <c r="M16" s="73"/>
      <c r="O16" s="13" t="s">
        <v>163</v>
      </c>
      <c r="P16" s="53" t="str">
        <f t="shared" ref="P16:Q16" si="13">IF($L16="","",$L16&lt;P$3)</f>
        <v/>
      </c>
      <c r="Q16" s="53" t="str">
        <f t="shared" si="13"/>
        <v/>
      </c>
      <c r="R16" s="53" t="b">
        <f t="shared" si="3"/>
        <v>1</v>
      </c>
    </row>
    <row r="17" ht="22.5" customHeight="1">
      <c r="A17" s="64" t="s">
        <v>104</v>
      </c>
      <c r="B17" s="71" t="s">
        <v>164</v>
      </c>
      <c r="C17" s="52" t="s">
        <v>165</v>
      </c>
      <c r="D17" s="52" t="s">
        <v>166</v>
      </c>
      <c r="E17" s="47" t="s">
        <v>118</v>
      </c>
      <c r="F17" s="47" t="s">
        <v>109</v>
      </c>
      <c r="G17" s="72" t="s">
        <v>167</v>
      </c>
      <c r="H17" s="49" t="s">
        <v>22</v>
      </c>
      <c r="I17" s="67" t="s">
        <v>121</v>
      </c>
      <c r="J17" s="60">
        <v>45875.0</v>
      </c>
      <c r="K17" s="60">
        <v>45877.0</v>
      </c>
      <c r="L17" s="60">
        <v>45891.0</v>
      </c>
      <c r="M17" s="60">
        <v>45908.0</v>
      </c>
      <c r="N17" s="68"/>
      <c r="O17" s="52" t="s">
        <v>168</v>
      </c>
      <c r="P17" s="53" t="b">
        <f t="shared" ref="P17:Q17" si="14">IF($L17="","",$L17&lt;P$3)</f>
        <v>1</v>
      </c>
      <c r="Q17" s="53" t="b">
        <f t="shared" si="14"/>
        <v>1</v>
      </c>
      <c r="R17" s="53" t="b">
        <f t="shared" si="3"/>
        <v>1</v>
      </c>
    </row>
    <row r="18" ht="22.5" customHeight="1">
      <c r="A18" s="64" t="s">
        <v>104</v>
      </c>
      <c r="B18" s="64" t="s">
        <v>164</v>
      </c>
      <c r="C18" s="64" t="s">
        <v>169</v>
      </c>
      <c r="D18" s="64" t="s">
        <v>170</v>
      </c>
      <c r="E18" s="64" t="s">
        <v>118</v>
      </c>
      <c r="F18" s="64"/>
      <c r="G18" s="66" t="s">
        <v>171</v>
      </c>
      <c r="H18" s="75" t="s">
        <v>22</v>
      </c>
      <c r="I18" s="67" t="s">
        <v>121</v>
      </c>
      <c r="J18" s="60">
        <v>45909.0</v>
      </c>
      <c r="K18" s="74">
        <v>45917.0</v>
      </c>
      <c r="L18" s="60">
        <v>45918.0</v>
      </c>
      <c r="M18" s="60">
        <v>45918.0</v>
      </c>
      <c r="N18" s="68"/>
      <c r="O18" s="76" t="s">
        <v>172</v>
      </c>
      <c r="P18" s="53" t="b">
        <f t="shared" ref="P18:Q18" si="15">IF($L18="","",$L18&lt;P$3)</f>
        <v>1</v>
      </c>
      <c r="Q18" s="53" t="b">
        <f t="shared" si="15"/>
        <v>1</v>
      </c>
      <c r="R18" s="53" t="b">
        <f t="shared" si="3"/>
        <v>1</v>
      </c>
    </row>
    <row r="19" ht="22.5" customHeight="1">
      <c r="A19" s="64" t="s">
        <v>104</v>
      </c>
      <c r="B19" s="64" t="s">
        <v>164</v>
      </c>
      <c r="C19" s="64" t="s">
        <v>169</v>
      </c>
      <c r="D19" s="64" t="s">
        <v>170</v>
      </c>
      <c r="E19" s="64" t="s">
        <v>118</v>
      </c>
      <c r="F19" s="64"/>
      <c r="G19" s="71" t="s">
        <v>173</v>
      </c>
      <c r="H19" s="67" t="s">
        <v>22</v>
      </c>
      <c r="I19" s="77" t="s">
        <v>111</v>
      </c>
      <c r="J19" s="60">
        <v>45931.0</v>
      </c>
      <c r="K19" s="70"/>
      <c r="L19" s="60">
        <v>45947.0</v>
      </c>
      <c r="M19" s="70"/>
      <c r="N19" s="68"/>
      <c r="O19" s="71" t="s">
        <v>174</v>
      </c>
      <c r="P19" s="53" t="b">
        <f t="shared" ref="P19:Q19" si="16">IF($L19="","",$L19&lt;P$3)</f>
        <v>1</v>
      </c>
      <c r="Q19" s="53" t="b">
        <f t="shared" si="16"/>
        <v>1</v>
      </c>
      <c r="R19" s="53" t="b">
        <f t="shared" si="3"/>
        <v>1</v>
      </c>
    </row>
    <row r="20" ht="303.75" customHeight="1">
      <c r="A20" s="64" t="s">
        <v>104</v>
      </c>
      <c r="B20" s="64" t="s">
        <v>164</v>
      </c>
      <c r="C20" s="64" t="s">
        <v>175</v>
      </c>
      <c r="D20" s="64" t="s">
        <v>175</v>
      </c>
      <c r="E20" s="64" t="s">
        <v>108</v>
      </c>
      <c r="F20" s="68"/>
      <c r="G20" s="64"/>
      <c r="H20" s="67" t="s">
        <v>22</v>
      </c>
      <c r="I20" s="67" t="s">
        <v>121</v>
      </c>
      <c r="J20" s="60">
        <v>45901.0</v>
      </c>
      <c r="K20" s="60">
        <v>45902.0</v>
      </c>
      <c r="L20" s="60">
        <v>45905.0</v>
      </c>
      <c r="M20" s="70"/>
      <c r="N20" s="68"/>
      <c r="O20" s="71" t="s">
        <v>176</v>
      </c>
      <c r="P20" s="53" t="b">
        <f t="shared" ref="P20:Q20" si="17">IF($L20="","",$L20&lt;P$3)</f>
        <v>1</v>
      </c>
      <c r="Q20" s="53" t="b">
        <f t="shared" si="17"/>
        <v>1</v>
      </c>
      <c r="R20" s="53" t="b">
        <f t="shared" si="3"/>
        <v>1</v>
      </c>
    </row>
    <row r="21" ht="22.5" customHeight="1">
      <c r="A21" s="64" t="s">
        <v>177</v>
      </c>
      <c r="B21" s="64" t="s">
        <v>178</v>
      </c>
      <c r="C21" s="64" t="s">
        <v>179</v>
      </c>
      <c r="D21" s="64"/>
      <c r="E21" s="64" t="s">
        <v>180</v>
      </c>
      <c r="F21" s="68"/>
      <c r="G21" s="68"/>
      <c r="H21" s="67" t="s">
        <v>22</v>
      </c>
      <c r="I21" s="67" t="s">
        <v>121</v>
      </c>
      <c r="J21" s="70">
        <v>45887.0</v>
      </c>
      <c r="K21" s="70">
        <v>45887.0</v>
      </c>
      <c r="L21" s="70">
        <v>45898.0</v>
      </c>
      <c r="M21" s="60">
        <v>45908.0</v>
      </c>
      <c r="N21" s="68"/>
      <c r="O21" s="76" t="s">
        <v>181</v>
      </c>
      <c r="P21" s="53" t="b">
        <f t="shared" ref="P21:Q21" si="18">IF($L21="","",$L21&lt;P$3)</f>
        <v>1</v>
      </c>
      <c r="Q21" s="53" t="b">
        <f t="shared" si="18"/>
        <v>1</v>
      </c>
      <c r="R21" s="53" t="b">
        <f t="shared" si="3"/>
        <v>1</v>
      </c>
    </row>
    <row r="22" ht="22.5" customHeight="1">
      <c r="A22" s="64" t="s">
        <v>177</v>
      </c>
      <c r="B22" s="64" t="s">
        <v>178</v>
      </c>
      <c r="C22" s="64" t="s">
        <v>179</v>
      </c>
      <c r="D22" s="71" t="s">
        <v>182</v>
      </c>
      <c r="E22" s="64" t="s">
        <v>180</v>
      </c>
      <c r="F22" s="68"/>
      <c r="G22" s="68"/>
      <c r="H22" s="67" t="s">
        <v>22</v>
      </c>
      <c r="I22" s="77" t="s">
        <v>111</v>
      </c>
      <c r="J22" s="60">
        <v>45895.0</v>
      </c>
      <c r="K22" s="70"/>
      <c r="L22" s="60">
        <v>45905.0</v>
      </c>
      <c r="M22" s="60">
        <v>45897.0</v>
      </c>
      <c r="N22" s="68"/>
      <c r="O22" s="71" t="s">
        <v>183</v>
      </c>
      <c r="P22" s="53" t="b">
        <f t="shared" ref="P22:Q22" si="19">IF($L22="","",$L22&lt;P$3)</f>
        <v>1</v>
      </c>
      <c r="Q22" s="53" t="b">
        <f t="shared" si="19"/>
        <v>1</v>
      </c>
      <c r="R22" s="53" t="b">
        <f t="shared" si="3"/>
        <v>1</v>
      </c>
    </row>
    <row r="23" ht="22.5" customHeight="1">
      <c r="A23" s="64" t="s">
        <v>177</v>
      </c>
      <c r="B23" s="64" t="s">
        <v>178</v>
      </c>
      <c r="C23" s="64" t="s">
        <v>184</v>
      </c>
      <c r="D23" s="68"/>
      <c r="E23" s="64" t="s">
        <v>180</v>
      </c>
      <c r="F23" s="68"/>
      <c r="G23" s="68"/>
      <c r="H23" s="67" t="s">
        <v>22</v>
      </c>
      <c r="I23" s="67" t="s">
        <v>121</v>
      </c>
      <c r="J23" s="70">
        <v>45887.0</v>
      </c>
      <c r="K23" s="70">
        <v>45887.0</v>
      </c>
      <c r="L23" s="70">
        <v>45898.0</v>
      </c>
      <c r="M23" s="60">
        <v>45903.0</v>
      </c>
      <c r="N23" s="68"/>
      <c r="O23" s="78" t="s">
        <v>185</v>
      </c>
      <c r="P23" s="53" t="b">
        <f t="shared" ref="P23:Q23" si="20">IF($L23="","",$L23&lt;P$3)</f>
        <v>1</v>
      </c>
      <c r="Q23" s="53" t="b">
        <f t="shared" si="20"/>
        <v>1</v>
      </c>
      <c r="R23" s="53" t="b">
        <f t="shared" si="3"/>
        <v>1</v>
      </c>
    </row>
    <row r="24" ht="22.5" customHeight="1">
      <c r="A24" s="64" t="s">
        <v>177</v>
      </c>
      <c r="B24" s="64" t="s">
        <v>164</v>
      </c>
      <c r="C24" s="64" t="s">
        <v>186</v>
      </c>
      <c r="D24" s="68"/>
      <c r="E24" s="64" t="s">
        <v>118</v>
      </c>
      <c r="F24" s="68"/>
      <c r="G24" s="68"/>
      <c r="H24" s="67" t="s">
        <v>22</v>
      </c>
      <c r="I24" s="79"/>
      <c r="J24" s="70"/>
      <c r="K24" s="70"/>
      <c r="L24" s="60">
        <v>45926.0</v>
      </c>
      <c r="M24" s="70"/>
      <c r="N24" s="68"/>
      <c r="O24" s="71" t="s">
        <v>187</v>
      </c>
      <c r="P24" s="53" t="b">
        <f t="shared" ref="P24:Q24" si="21">IF($L24="","",$L24&lt;P$3)</f>
        <v>1</v>
      </c>
      <c r="Q24" s="53" t="b">
        <f t="shared" si="21"/>
        <v>1</v>
      </c>
      <c r="R24" s="53" t="str">
        <f t="shared" si="3"/>
        <v/>
      </c>
    </row>
    <row r="25" ht="22.5" customHeight="1">
      <c r="A25" s="64" t="s">
        <v>177</v>
      </c>
      <c r="B25" s="64" t="s">
        <v>164</v>
      </c>
      <c r="C25" s="64" t="s">
        <v>188</v>
      </c>
      <c r="D25" s="68"/>
      <c r="E25" s="64" t="s">
        <v>118</v>
      </c>
      <c r="F25" s="68"/>
      <c r="G25" s="68"/>
      <c r="H25" s="67" t="s">
        <v>22</v>
      </c>
      <c r="I25" s="79"/>
      <c r="J25" s="70"/>
      <c r="K25" s="70"/>
      <c r="L25" s="60">
        <v>45919.0</v>
      </c>
      <c r="M25" s="70"/>
      <c r="N25" s="68"/>
      <c r="O25" s="71" t="s">
        <v>187</v>
      </c>
      <c r="P25" s="53" t="b">
        <f t="shared" ref="P25:Q25" si="22">IF($L25="","",$L25&lt;P$3)</f>
        <v>1</v>
      </c>
      <c r="Q25" s="53" t="b">
        <f t="shared" si="22"/>
        <v>1</v>
      </c>
      <c r="R25" s="53" t="str">
        <f t="shared" si="3"/>
        <v/>
      </c>
    </row>
    <row r="26" ht="22.5" customHeight="1">
      <c r="A26" s="64" t="s">
        <v>189</v>
      </c>
      <c r="B26" s="68"/>
      <c r="C26" s="71" t="s">
        <v>190</v>
      </c>
      <c r="D26" s="68"/>
      <c r="E26" s="64" t="s">
        <v>180</v>
      </c>
      <c r="F26" s="68"/>
      <c r="G26" s="68"/>
      <c r="H26" s="67" t="s">
        <v>22</v>
      </c>
      <c r="I26" s="67" t="s">
        <v>111</v>
      </c>
      <c r="J26" s="70">
        <v>45894.0</v>
      </c>
      <c r="K26" s="60">
        <v>45894.0</v>
      </c>
      <c r="L26" s="70">
        <v>45905.0</v>
      </c>
      <c r="M26" s="70"/>
      <c r="N26" s="68"/>
      <c r="O26" s="68"/>
      <c r="P26" s="53" t="b">
        <f t="shared" ref="P26:Q26" si="23">IF($L26="","",$L26&lt;P$3)</f>
        <v>1</v>
      </c>
      <c r="Q26" s="53" t="b">
        <f t="shared" si="23"/>
        <v>1</v>
      </c>
      <c r="R26" s="53" t="b">
        <f t="shared" si="3"/>
        <v>1</v>
      </c>
    </row>
    <row r="27" ht="22.5" customHeight="1">
      <c r="A27" s="64" t="s">
        <v>189</v>
      </c>
      <c r="B27" s="68"/>
      <c r="C27" s="71" t="s">
        <v>191</v>
      </c>
      <c r="D27" s="68"/>
      <c r="E27" s="64" t="s">
        <v>180</v>
      </c>
      <c r="F27" s="71" t="s">
        <v>192</v>
      </c>
      <c r="G27" s="68"/>
      <c r="H27" s="67" t="s">
        <v>22</v>
      </c>
      <c r="I27" s="67" t="s">
        <v>121</v>
      </c>
      <c r="J27" s="70">
        <v>45887.0</v>
      </c>
      <c r="K27" s="70">
        <v>45887.0</v>
      </c>
      <c r="L27" s="70">
        <v>45891.0</v>
      </c>
      <c r="M27" s="60">
        <v>45894.0</v>
      </c>
      <c r="N27" s="68"/>
      <c r="O27" s="71" t="s">
        <v>193</v>
      </c>
      <c r="P27" s="53" t="b">
        <f t="shared" ref="P27:Q27" si="24">IF($L27="","",$L27&lt;P$3)</f>
        <v>1</v>
      </c>
      <c r="Q27" s="53" t="b">
        <f t="shared" si="24"/>
        <v>1</v>
      </c>
      <c r="R27" s="53" t="b">
        <f t="shared" si="3"/>
        <v>1</v>
      </c>
    </row>
    <row r="28" ht="22.5" customHeight="1">
      <c r="A28" s="64" t="s">
        <v>189</v>
      </c>
      <c r="B28" s="64" t="s">
        <v>164</v>
      </c>
      <c r="C28" s="71" t="s">
        <v>194</v>
      </c>
      <c r="D28" s="68"/>
      <c r="E28" s="64" t="s">
        <v>180</v>
      </c>
      <c r="F28" s="68"/>
      <c r="G28" s="68"/>
      <c r="H28" s="67" t="s">
        <v>22</v>
      </c>
      <c r="I28" s="67" t="s">
        <v>121</v>
      </c>
      <c r="J28" s="60">
        <v>45908.0</v>
      </c>
      <c r="K28" s="70"/>
      <c r="L28" s="60">
        <v>45918.0</v>
      </c>
      <c r="M28" s="70"/>
      <c r="N28" s="68"/>
      <c r="O28" s="71" t="s">
        <v>195</v>
      </c>
      <c r="P28" s="53" t="b">
        <f t="shared" ref="P28:Q28" si="25">IF($L28="","",$L28&lt;P$3)</f>
        <v>1</v>
      </c>
      <c r="Q28" s="53" t="b">
        <f t="shared" si="25"/>
        <v>1</v>
      </c>
      <c r="R28" s="53" t="b">
        <f t="shared" si="3"/>
        <v>1</v>
      </c>
    </row>
    <row r="29" ht="22.5" customHeight="1">
      <c r="A29" s="64" t="s">
        <v>189</v>
      </c>
      <c r="B29" s="68"/>
      <c r="C29" s="71" t="s">
        <v>196</v>
      </c>
      <c r="D29" s="68"/>
      <c r="E29" s="64" t="s">
        <v>180</v>
      </c>
      <c r="F29" s="68"/>
      <c r="G29" s="68"/>
      <c r="H29" s="67" t="s">
        <v>197</v>
      </c>
      <c r="I29" s="67" t="s">
        <v>121</v>
      </c>
      <c r="J29" s="60">
        <v>45908.0</v>
      </c>
      <c r="K29" s="70"/>
      <c r="L29" s="60">
        <v>46047.0</v>
      </c>
      <c r="M29" s="70"/>
      <c r="N29" s="68"/>
      <c r="O29" s="71" t="s">
        <v>198</v>
      </c>
      <c r="P29" s="53" t="b">
        <f t="shared" ref="P29:Q29" si="26">IF($L29="","",$L29&lt;P$3)</f>
        <v>1</v>
      </c>
      <c r="Q29" s="53" t="b">
        <f t="shared" si="26"/>
        <v>1</v>
      </c>
      <c r="R29" s="53" t="b">
        <f t="shared" si="3"/>
        <v>1</v>
      </c>
    </row>
    <row r="30" ht="22.5" customHeight="1">
      <c r="A30" s="64" t="s">
        <v>189</v>
      </c>
      <c r="B30" s="68"/>
      <c r="C30" s="71" t="s">
        <v>199</v>
      </c>
      <c r="D30" s="68"/>
      <c r="E30" s="64" t="s">
        <v>180</v>
      </c>
      <c r="F30" s="68"/>
      <c r="G30" s="68"/>
      <c r="H30" s="67" t="s">
        <v>197</v>
      </c>
      <c r="I30" s="67" t="s">
        <v>121</v>
      </c>
      <c r="J30" s="60">
        <v>45908.0</v>
      </c>
      <c r="K30" s="70"/>
      <c r="L30" s="60">
        <v>46047.0</v>
      </c>
      <c r="M30" s="70"/>
      <c r="N30" s="68"/>
      <c r="O30" s="71" t="s">
        <v>198</v>
      </c>
      <c r="P30" s="53" t="b">
        <f t="shared" ref="P30:Q30" si="27">IF($L30="","",$L30&lt;P$3)</f>
        <v>1</v>
      </c>
      <c r="Q30" s="53" t="b">
        <f t="shared" si="27"/>
        <v>1</v>
      </c>
      <c r="R30" s="53" t="b">
        <f t="shared" si="3"/>
        <v>1</v>
      </c>
    </row>
    <row r="31" ht="22.5" customHeight="1">
      <c r="A31" s="64" t="s">
        <v>189</v>
      </c>
      <c r="B31" s="68"/>
      <c r="C31" s="71" t="s">
        <v>200</v>
      </c>
      <c r="D31" s="68"/>
      <c r="E31" s="64" t="s">
        <v>180</v>
      </c>
      <c r="F31" s="68"/>
      <c r="G31" s="68"/>
      <c r="H31" s="67" t="s">
        <v>22</v>
      </c>
      <c r="I31" s="67" t="s">
        <v>121</v>
      </c>
      <c r="J31" s="60">
        <v>45908.0</v>
      </c>
      <c r="K31" s="70"/>
      <c r="L31" s="70">
        <v>45918.0</v>
      </c>
      <c r="M31" s="70"/>
      <c r="N31" s="68"/>
      <c r="O31" s="71" t="s">
        <v>195</v>
      </c>
      <c r="P31" s="53" t="b">
        <f t="shared" ref="P31:Q31" si="28">IF($L31="","",$L31&lt;P$3)</f>
        <v>1</v>
      </c>
      <c r="Q31" s="53" t="b">
        <f t="shared" si="28"/>
        <v>1</v>
      </c>
      <c r="R31" s="53" t="b">
        <f t="shared" si="3"/>
        <v>1</v>
      </c>
    </row>
    <row r="32" ht="22.5" customHeight="1">
      <c r="A32" s="68" t="s">
        <v>189</v>
      </c>
      <c r="B32" s="68"/>
      <c r="C32" s="71" t="s">
        <v>201</v>
      </c>
      <c r="D32" s="68"/>
      <c r="E32" s="64" t="s">
        <v>180</v>
      </c>
      <c r="F32" s="68"/>
      <c r="G32" s="68"/>
      <c r="H32" s="67" t="s">
        <v>22</v>
      </c>
      <c r="I32" s="67" t="s">
        <v>121</v>
      </c>
      <c r="J32" s="60">
        <v>45908.0</v>
      </c>
      <c r="K32" s="70"/>
      <c r="L32" s="60">
        <v>46010.0</v>
      </c>
      <c r="M32" s="60">
        <v>46020.0</v>
      </c>
      <c r="N32" s="68"/>
      <c r="O32" s="71" t="s">
        <v>198</v>
      </c>
      <c r="P32" s="53" t="b">
        <f t="shared" ref="P32:Q32" si="29">IF($L32="","",$L32&lt;P$3)</f>
        <v>1</v>
      </c>
      <c r="Q32" s="53" t="b">
        <f t="shared" si="29"/>
        <v>1</v>
      </c>
      <c r="R32" s="53" t="b">
        <f t="shared" si="3"/>
        <v>1</v>
      </c>
    </row>
    <row r="33" ht="22.5" customHeight="1">
      <c r="A33" s="68" t="s">
        <v>189</v>
      </c>
      <c r="B33" s="68"/>
      <c r="C33" s="71" t="s">
        <v>202</v>
      </c>
      <c r="D33" s="68"/>
      <c r="E33" s="64" t="s">
        <v>180</v>
      </c>
      <c r="F33" s="68"/>
      <c r="G33" s="68"/>
      <c r="H33" s="67" t="s">
        <v>203</v>
      </c>
      <c r="I33" s="67" t="s">
        <v>121</v>
      </c>
      <c r="J33" s="60">
        <v>45908.0</v>
      </c>
      <c r="K33" s="70"/>
      <c r="L33" s="70"/>
      <c r="M33" s="70"/>
      <c r="N33" s="68"/>
      <c r="O33" s="71" t="s">
        <v>198</v>
      </c>
      <c r="P33" s="53" t="str">
        <f t="shared" ref="P33:Q33" si="30">IF($L33="","",$L33&lt;P$3)</f>
        <v/>
      </c>
      <c r="Q33" s="53" t="str">
        <f t="shared" si="30"/>
        <v/>
      </c>
      <c r="R33" s="53" t="b">
        <f t="shared" si="3"/>
        <v>1</v>
      </c>
    </row>
    <row r="34" ht="22.5" customHeight="1">
      <c r="A34" s="68" t="s">
        <v>189</v>
      </c>
      <c r="B34" s="68"/>
      <c r="C34" s="71" t="s">
        <v>204</v>
      </c>
      <c r="D34" s="68"/>
      <c r="E34" s="64" t="s">
        <v>180</v>
      </c>
      <c r="F34" s="68"/>
      <c r="G34" s="68"/>
      <c r="H34" s="67" t="s">
        <v>22</v>
      </c>
      <c r="I34" s="67" t="s">
        <v>121</v>
      </c>
      <c r="J34" s="60">
        <v>45908.0</v>
      </c>
      <c r="K34" s="70"/>
      <c r="L34" s="70">
        <v>45918.0</v>
      </c>
      <c r="M34" s="70"/>
      <c r="N34" s="68"/>
      <c r="O34" s="71" t="s">
        <v>195</v>
      </c>
      <c r="P34" s="53" t="b">
        <f t="shared" ref="P34:Q34" si="31">IF($L34="","",$L34&lt;P$3)</f>
        <v>1</v>
      </c>
      <c r="Q34" s="53" t="b">
        <f t="shared" si="31"/>
        <v>1</v>
      </c>
      <c r="R34" s="53" t="b">
        <f t="shared" si="3"/>
        <v>1</v>
      </c>
    </row>
    <row r="35" ht="22.5" customHeight="1">
      <c r="A35" s="71" t="s">
        <v>104</v>
      </c>
      <c r="B35" s="68"/>
      <c r="C35" s="52" t="s">
        <v>205</v>
      </c>
      <c r="D35" s="80" t="s">
        <v>206</v>
      </c>
      <c r="E35" s="81" t="s">
        <v>207</v>
      </c>
      <c r="F35" s="68"/>
      <c r="G35" s="68"/>
      <c r="H35" s="67" t="s">
        <v>208</v>
      </c>
      <c r="I35" s="67"/>
      <c r="J35" s="70"/>
      <c r="K35" s="70"/>
      <c r="L35" s="60">
        <v>46066.0</v>
      </c>
      <c r="M35" s="70"/>
      <c r="N35" s="68"/>
      <c r="O35" s="52" t="s">
        <v>209</v>
      </c>
      <c r="P35" s="53" t="b">
        <f t="shared" ref="P35:Q35" si="32">IF($L35="","",$L35&lt;P$3)</f>
        <v>1</v>
      </c>
      <c r="Q35" s="53" t="b">
        <f t="shared" si="32"/>
        <v>1</v>
      </c>
      <c r="R35" s="53" t="str">
        <f t="shared" si="3"/>
        <v/>
      </c>
    </row>
    <row r="36" ht="22.5" customHeight="1">
      <c r="A36" s="71" t="s">
        <v>104</v>
      </c>
      <c r="B36" s="68"/>
      <c r="C36" s="52" t="s">
        <v>210</v>
      </c>
      <c r="D36" s="80" t="s">
        <v>211</v>
      </c>
      <c r="E36" s="81" t="s">
        <v>212</v>
      </c>
      <c r="F36" s="68"/>
      <c r="G36" s="66" t="s">
        <v>213</v>
      </c>
      <c r="H36" s="67" t="s">
        <v>22</v>
      </c>
      <c r="I36" s="79"/>
      <c r="J36" s="70"/>
      <c r="K36" s="70"/>
      <c r="L36" s="60">
        <v>45975.0</v>
      </c>
      <c r="M36" s="70"/>
      <c r="N36" s="68"/>
      <c r="O36" s="52" t="s">
        <v>214</v>
      </c>
      <c r="P36" s="53" t="b">
        <f t="shared" ref="P36:Q36" si="33">IF($L36="","",$L36&lt;P$3)</f>
        <v>1</v>
      </c>
      <c r="Q36" s="53" t="b">
        <f t="shared" si="33"/>
        <v>1</v>
      </c>
      <c r="R36" s="53" t="str">
        <f t="shared" si="3"/>
        <v/>
      </c>
    </row>
    <row r="37" ht="22.5" customHeight="1">
      <c r="A37" s="71" t="s">
        <v>104</v>
      </c>
      <c r="B37" s="68"/>
      <c r="C37" s="52" t="s">
        <v>215</v>
      </c>
      <c r="D37" s="82"/>
      <c r="E37" s="71" t="s">
        <v>118</v>
      </c>
      <c r="F37" s="71" t="s">
        <v>131</v>
      </c>
      <c r="G37" s="83" t="s">
        <v>216</v>
      </c>
      <c r="H37" s="67" t="s">
        <v>22</v>
      </c>
      <c r="I37" s="79"/>
      <c r="J37" s="70"/>
      <c r="K37" s="70"/>
      <c r="L37" s="70"/>
      <c r="M37" s="70"/>
      <c r="N37" s="68"/>
      <c r="O37" s="82"/>
      <c r="P37" s="53"/>
      <c r="Q37" s="53"/>
      <c r="R37" s="53"/>
    </row>
    <row r="38" ht="22.5" customHeight="1">
      <c r="A38" s="71" t="s">
        <v>104</v>
      </c>
      <c r="B38" s="68"/>
      <c r="C38" s="52" t="s">
        <v>217</v>
      </c>
      <c r="D38" s="82"/>
      <c r="E38" s="81" t="s">
        <v>118</v>
      </c>
      <c r="F38" s="68"/>
      <c r="G38" s="66" t="s">
        <v>218</v>
      </c>
      <c r="H38" s="67" t="s">
        <v>22</v>
      </c>
      <c r="I38" s="79"/>
      <c r="J38" s="60">
        <v>45911.0</v>
      </c>
      <c r="K38" s="60">
        <v>45912.0</v>
      </c>
      <c r="L38" s="60">
        <v>45915.0</v>
      </c>
      <c r="M38" s="60">
        <v>45918.0</v>
      </c>
      <c r="N38" s="68"/>
      <c r="O38" s="52" t="s">
        <v>219</v>
      </c>
      <c r="P38" s="53" t="b">
        <f t="shared" ref="P38:Q38" si="34">IF($L38="","",$L38&lt;P$3)</f>
        <v>1</v>
      </c>
      <c r="Q38" s="53" t="b">
        <f t="shared" si="34"/>
        <v>1</v>
      </c>
      <c r="R38" s="53" t="b">
        <f>IF(J38="","",J38&lt;=R$3)</f>
        <v>1</v>
      </c>
    </row>
    <row r="39" ht="22.5" customHeight="1">
      <c r="A39" s="71" t="s">
        <v>104</v>
      </c>
      <c r="B39" s="68"/>
      <c r="C39" s="52" t="s">
        <v>220</v>
      </c>
      <c r="D39" s="82"/>
      <c r="E39" s="81" t="s">
        <v>108</v>
      </c>
      <c r="F39" s="71" t="s">
        <v>119</v>
      </c>
      <c r="G39" s="68"/>
      <c r="H39" s="67" t="s">
        <v>22</v>
      </c>
      <c r="I39" s="67" t="s">
        <v>111</v>
      </c>
      <c r="J39" s="60">
        <v>45911.0</v>
      </c>
      <c r="K39" s="60">
        <v>45911.0</v>
      </c>
      <c r="L39" s="70"/>
      <c r="M39" s="60">
        <v>45919.0</v>
      </c>
      <c r="N39" s="68"/>
      <c r="O39" s="82"/>
      <c r="P39" s="53"/>
      <c r="Q39" s="53"/>
      <c r="R39" s="53"/>
    </row>
    <row r="40" ht="22.5" customHeight="1">
      <c r="A40" s="71" t="s">
        <v>104</v>
      </c>
      <c r="B40" s="68"/>
      <c r="C40" s="52" t="s">
        <v>221</v>
      </c>
      <c r="D40" s="82"/>
      <c r="E40" s="81" t="s">
        <v>222</v>
      </c>
      <c r="F40" s="68"/>
      <c r="G40" s="71" t="s">
        <v>223</v>
      </c>
      <c r="H40" s="67" t="s">
        <v>22</v>
      </c>
      <c r="I40" s="79"/>
      <c r="J40" s="60">
        <v>45919.0</v>
      </c>
      <c r="K40" s="60">
        <v>45919.0</v>
      </c>
      <c r="L40" s="60">
        <v>45931.0</v>
      </c>
      <c r="M40" s="70"/>
      <c r="N40" s="68"/>
      <c r="O40" s="52" t="s">
        <v>224</v>
      </c>
      <c r="P40" s="53"/>
      <c r="Q40" s="53"/>
      <c r="R40" s="53"/>
    </row>
    <row r="41" ht="22.5" customHeight="1">
      <c r="A41" s="71"/>
      <c r="B41" s="68"/>
      <c r="C41" s="52" t="s">
        <v>225</v>
      </c>
      <c r="D41" s="82"/>
      <c r="E41" s="81" t="s">
        <v>118</v>
      </c>
      <c r="F41" s="68"/>
      <c r="G41" s="66" t="s">
        <v>226</v>
      </c>
      <c r="H41" s="67" t="s">
        <v>22</v>
      </c>
      <c r="I41" s="79"/>
      <c r="J41" s="60"/>
      <c r="K41" s="60"/>
      <c r="L41" s="60"/>
      <c r="M41" s="70"/>
      <c r="N41" s="68"/>
      <c r="O41" s="52"/>
      <c r="P41" s="53"/>
      <c r="Q41" s="53"/>
      <c r="R41" s="53"/>
    </row>
    <row r="42" ht="22.5" customHeight="1">
      <c r="A42" s="71" t="s">
        <v>104</v>
      </c>
      <c r="B42" s="68"/>
      <c r="C42" s="52" t="s">
        <v>227</v>
      </c>
      <c r="D42" s="82"/>
      <c r="E42" s="81" t="s">
        <v>108</v>
      </c>
      <c r="F42" s="68"/>
      <c r="G42" s="68"/>
      <c r="H42" s="67" t="s">
        <v>228</v>
      </c>
      <c r="I42" s="79"/>
      <c r="J42" s="60">
        <v>45926.0</v>
      </c>
      <c r="K42" s="60"/>
      <c r="L42" s="70"/>
      <c r="M42" s="70"/>
      <c r="N42" s="68"/>
      <c r="O42" s="82"/>
      <c r="P42" s="53" t="str">
        <f t="shared" ref="P42:Q42" si="35">IF($L42="","",$L42&lt;P$3)</f>
        <v/>
      </c>
      <c r="Q42" s="53" t="str">
        <f t="shared" si="35"/>
        <v/>
      </c>
      <c r="R42" s="53" t="b">
        <f>IF(J42="","",J42&lt;=R$3)</f>
        <v>1</v>
      </c>
    </row>
    <row r="43" ht="22.5" customHeight="1">
      <c r="A43" s="71" t="s">
        <v>104</v>
      </c>
      <c r="B43" s="68"/>
      <c r="C43" s="52" t="s">
        <v>229</v>
      </c>
      <c r="D43" s="82"/>
      <c r="E43" s="81" t="s">
        <v>108</v>
      </c>
      <c r="F43" s="68"/>
      <c r="G43" s="71" t="s">
        <v>22</v>
      </c>
      <c r="H43" s="67" t="s">
        <v>22</v>
      </c>
      <c r="I43" s="79"/>
      <c r="J43" s="60">
        <v>45919.0</v>
      </c>
      <c r="K43" s="60">
        <v>45919.0</v>
      </c>
      <c r="L43" s="60">
        <v>45925.0</v>
      </c>
      <c r="M43" s="70"/>
      <c r="N43" s="68"/>
      <c r="O43" s="82"/>
      <c r="P43" s="53"/>
      <c r="Q43" s="53"/>
      <c r="R43" s="53"/>
    </row>
    <row r="44" ht="22.5" customHeight="1">
      <c r="A44" s="71" t="s">
        <v>104</v>
      </c>
      <c r="B44" s="68"/>
      <c r="C44" s="52" t="s">
        <v>230</v>
      </c>
      <c r="D44" s="82"/>
      <c r="E44" s="81" t="s">
        <v>108</v>
      </c>
      <c r="F44" s="68"/>
      <c r="G44" s="71" t="s">
        <v>231</v>
      </c>
      <c r="H44" s="67" t="s">
        <v>228</v>
      </c>
      <c r="I44" s="79"/>
      <c r="J44" s="70"/>
      <c r="K44" s="70"/>
      <c r="L44" s="70"/>
      <c r="M44" s="70"/>
      <c r="N44" s="68"/>
      <c r="O44" s="82"/>
      <c r="P44" s="53" t="str">
        <f t="shared" ref="P44:Q44" si="36">IF($L44="","",$L44&lt;P$3)</f>
        <v/>
      </c>
      <c r="Q44" s="53" t="str">
        <f t="shared" si="36"/>
        <v/>
      </c>
      <c r="R44" s="53" t="str">
        <f>IF(J44="","",J44&lt;=R$3)</f>
        <v/>
      </c>
    </row>
    <row r="45" ht="22.5" customHeight="1">
      <c r="A45" s="71" t="s">
        <v>104</v>
      </c>
      <c r="B45" s="71" t="s">
        <v>105</v>
      </c>
      <c r="C45" s="52" t="s">
        <v>232</v>
      </c>
      <c r="D45" s="52" t="s">
        <v>233</v>
      </c>
      <c r="E45" s="81" t="s">
        <v>234</v>
      </c>
      <c r="F45" s="68"/>
      <c r="G45" s="66" t="s">
        <v>235</v>
      </c>
      <c r="H45" s="67" t="s">
        <v>22</v>
      </c>
      <c r="I45" s="79"/>
      <c r="J45" s="70"/>
      <c r="K45" s="70"/>
      <c r="L45" s="70"/>
      <c r="M45" s="70"/>
      <c r="N45" s="68"/>
      <c r="O45" s="52" t="s">
        <v>236</v>
      </c>
      <c r="P45" s="53"/>
      <c r="Q45" s="53"/>
      <c r="R45" s="53"/>
    </row>
    <row r="46" ht="22.5" customHeight="1">
      <c r="A46" s="71" t="s">
        <v>104</v>
      </c>
      <c r="B46" s="71" t="s">
        <v>105</v>
      </c>
      <c r="C46" s="52" t="s">
        <v>237</v>
      </c>
      <c r="D46" s="76" t="s">
        <v>238</v>
      </c>
      <c r="E46" s="84"/>
      <c r="F46" s="68"/>
      <c r="G46" s="72" t="s">
        <v>239</v>
      </c>
      <c r="H46" s="67" t="s">
        <v>22</v>
      </c>
      <c r="I46" s="79"/>
      <c r="J46" s="60">
        <v>45961.0</v>
      </c>
      <c r="K46" s="60">
        <v>45961.0</v>
      </c>
      <c r="L46" s="60">
        <v>46010.0</v>
      </c>
      <c r="M46" s="60">
        <v>46010.0</v>
      </c>
      <c r="N46" s="68"/>
      <c r="O46" s="52" t="s">
        <v>240</v>
      </c>
      <c r="P46" s="53" t="b">
        <f t="shared" ref="P46:Q46" si="37">IF($L46="","",$L46&lt;P$3)</f>
        <v>1</v>
      </c>
      <c r="Q46" s="53" t="b">
        <f t="shared" si="37"/>
        <v>1</v>
      </c>
      <c r="R46" s="53" t="b">
        <f>IF(J46="","",J46&lt;=R$3)</f>
        <v>1</v>
      </c>
    </row>
    <row r="47" ht="22.5" customHeight="1">
      <c r="A47" s="71" t="s">
        <v>104</v>
      </c>
      <c r="B47" s="71" t="s">
        <v>105</v>
      </c>
      <c r="C47" s="52" t="s">
        <v>241</v>
      </c>
      <c r="D47" s="52" t="s">
        <v>242</v>
      </c>
      <c r="E47" s="84"/>
      <c r="F47" s="68"/>
      <c r="G47" s="68"/>
      <c r="H47" s="67" t="s">
        <v>22</v>
      </c>
      <c r="I47" s="79"/>
      <c r="J47" s="70"/>
      <c r="K47" s="70"/>
      <c r="L47" s="70"/>
      <c r="M47" s="70"/>
      <c r="N47" s="68"/>
      <c r="O47" s="82"/>
      <c r="P47" s="53"/>
      <c r="Q47" s="53"/>
      <c r="R47" s="53"/>
    </row>
    <row r="48" ht="22.5" customHeight="1">
      <c r="A48" s="71" t="s">
        <v>104</v>
      </c>
      <c r="B48" s="71" t="s">
        <v>105</v>
      </c>
      <c r="C48" s="52" t="s">
        <v>243</v>
      </c>
      <c r="D48" s="52" t="s">
        <v>244</v>
      </c>
      <c r="E48" s="85" t="s">
        <v>245</v>
      </c>
      <c r="F48" s="71"/>
      <c r="G48" s="66" t="s">
        <v>245</v>
      </c>
      <c r="H48" s="67" t="s">
        <v>22</v>
      </c>
      <c r="I48" s="79"/>
      <c r="J48" s="70"/>
      <c r="K48" s="70"/>
      <c r="L48" s="70"/>
      <c r="M48" s="70"/>
      <c r="N48" s="68"/>
      <c r="O48" s="82"/>
      <c r="P48" s="53"/>
      <c r="Q48" s="53"/>
      <c r="R48" s="53"/>
    </row>
    <row r="49" ht="22.5" customHeight="1">
      <c r="A49" s="71" t="s">
        <v>104</v>
      </c>
      <c r="B49" s="71" t="s">
        <v>105</v>
      </c>
      <c r="C49" s="52" t="s">
        <v>246</v>
      </c>
      <c r="D49" s="52" t="s">
        <v>247</v>
      </c>
      <c r="E49" s="84"/>
      <c r="F49" s="68"/>
      <c r="G49" s="66" t="s">
        <v>248</v>
      </c>
      <c r="H49" s="67" t="s">
        <v>22</v>
      </c>
      <c r="I49" s="79"/>
      <c r="J49" s="70"/>
      <c r="K49" s="70"/>
      <c r="L49" s="60">
        <v>46028.0</v>
      </c>
      <c r="M49" s="60">
        <v>46020.0</v>
      </c>
      <c r="N49" s="68"/>
      <c r="O49" s="52" t="s">
        <v>249</v>
      </c>
      <c r="P49" s="53" t="b">
        <f t="shared" ref="P49:Q49" si="38">IF($L49="","",$L49&lt;P$3)</f>
        <v>1</v>
      </c>
      <c r="Q49" s="53" t="b">
        <f t="shared" si="38"/>
        <v>1</v>
      </c>
      <c r="R49" s="53" t="str">
        <f t="shared" ref="R49:R52" si="40">IF(J49="","",J49&lt;=R$3)</f>
        <v/>
      </c>
    </row>
    <row r="50" ht="22.5" customHeight="1">
      <c r="A50" s="71" t="s">
        <v>104</v>
      </c>
      <c r="B50" s="71" t="s">
        <v>105</v>
      </c>
      <c r="C50" s="52" t="s">
        <v>250</v>
      </c>
      <c r="D50" s="52" t="s">
        <v>251</v>
      </c>
      <c r="E50" s="84"/>
      <c r="F50" s="68"/>
      <c r="G50" s="66" t="s">
        <v>252</v>
      </c>
      <c r="H50" s="67" t="s">
        <v>197</v>
      </c>
      <c r="I50" s="79"/>
      <c r="J50" s="70"/>
      <c r="K50" s="70"/>
      <c r="L50" s="60">
        <v>46053.0</v>
      </c>
      <c r="M50" s="70"/>
      <c r="N50" s="68"/>
      <c r="O50" s="82"/>
      <c r="P50" s="53" t="b">
        <f t="shared" ref="P50:Q50" si="39">IF($L50="","",$L50&lt;P$3)</f>
        <v>1</v>
      </c>
      <c r="Q50" s="53" t="b">
        <f t="shared" si="39"/>
        <v>1</v>
      </c>
      <c r="R50" s="53" t="str">
        <f t="shared" si="40"/>
        <v/>
      </c>
    </row>
    <row r="51" ht="22.5" customHeight="1">
      <c r="A51" s="71" t="s">
        <v>104</v>
      </c>
      <c r="B51" s="68"/>
      <c r="C51" s="52" t="s">
        <v>253</v>
      </c>
      <c r="D51" s="52" t="s">
        <v>254</v>
      </c>
      <c r="E51" s="84"/>
      <c r="F51" s="68"/>
      <c r="G51" s="66" t="s">
        <v>255</v>
      </c>
      <c r="H51" s="67" t="s">
        <v>197</v>
      </c>
      <c r="I51" s="79"/>
      <c r="J51" s="70"/>
      <c r="K51" s="70"/>
      <c r="L51" s="60">
        <v>46038.0</v>
      </c>
      <c r="M51" s="70"/>
      <c r="N51" s="68"/>
      <c r="O51" s="52" t="s">
        <v>256</v>
      </c>
      <c r="P51" s="53" t="b">
        <f t="shared" ref="P51:Q51" si="41">IF($L51="","",$L51&lt;P$3)</f>
        <v>1</v>
      </c>
      <c r="Q51" s="53" t="b">
        <f t="shared" si="41"/>
        <v>1</v>
      </c>
      <c r="R51" s="53" t="str">
        <f t="shared" si="40"/>
        <v/>
      </c>
    </row>
    <row r="52" ht="22.5" customHeight="1">
      <c r="A52" s="71" t="s">
        <v>104</v>
      </c>
      <c r="B52" s="68"/>
      <c r="C52" s="52" t="s">
        <v>257</v>
      </c>
      <c r="D52" s="52" t="s">
        <v>258</v>
      </c>
      <c r="E52" s="81" t="s">
        <v>180</v>
      </c>
      <c r="F52" s="71"/>
      <c r="G52" s="68"/>
      <c r="H52" s="67" t="s">
        <v>228</v>
      </c>
      <c r="I52" s="79"/>
      <c r="J52" s="70"/>
      <c r="K52" s="70"/>
      <c r="L52" s="60">
        <v>46081.0</v>
      </c>
      <c r="M52" s="70"/>
      <c r="N52" s="68"/>
      <c r="O52" s="82"/>
      <c r="P52" s="53" t="b">
        <f t="shared" ref="P52:Q52" si="42">IF($L52="","",$L52&lt;P$3)</f>
        <v>1</v>
      </c>
      <c r="Q52" s="53" t="b">
        <f t="shared" si="42"/>
        <v>1</v>
      </c>
      <c r="R52" s="53" t="str">
        <f t="shared" si="40"/>
        <v/>
      </c>
    </row>
    <row r="53" ht="22.5" customHeight="1">
      <c r="A53" s="71" t="s">
        <v>104</v>
      </c>
      <c r="B53" s="68"/>
      <c r="C53" s="52" t="s">
        <v>259</v>
      </c>
      <c r="D53" s="52" t="s">
        <v>260</v>
      </c>
      <c r="E53" s="81" t="s">
        <v>108</v>
      </c>
      <c r="F53" s="68"/>
      <c r="G53" s="71" t="s">
        <v>261</v>
      </c>
      <c r="H53" s="67" t="s">
        <v>203</v>
      </c>
      <c r="I53" s="79"/>
      <c r="J53" s="70"/>
      <c r="K53" s="70"/>
      <c r="L53" s="70"/>
      <c r="M53" s="70"/>
      <c r="N53" s="68"/>
      <c r="O53" s="52" t="s">
        <v>262</v>
      </c>
      <c r="P53" s="53"/>
      <c r="Q53" s="53"/>
      <c r="R53" s="53"/>
    </row>
    <row r="54" ht="22.5" customHeight="1">
      <c r="A54" s="71" t="s">
        <v>104</v>
      </c>
      <c r="B54" s="71" t="s">
        <v>105</v>
      </c>
      <c r="C54" s="52" t="s">
        <v>263</v>
      </c>
      <c r="D54" s="52" t="s">
        <v>264</v>
      </c>
      <c r="E54" s="81" t="s">
        <v>108</v>
      </c>
      <c r="F54" s="71" t="s">
        <v>119</v>
      </c>
      <c r="G54" s="68"/>
      <c r="H54" s="67" t="s">
        <v>203</v>
      </c>
      <c r="I54" s="79"/>
      <c r="J54" s="70"/>
      <c r="K54" s="70"/>
      <c r="L54" s="70"/>
      <c r="M54" s="70"/>
      <c r="N54" s="68"/>
      <c r="O54" s="52" t="s">
        <v>265</v>
      </c>
      <c r="P54" s="53" t="str">
        <f t="shared" ref="P54:Q54" si="43">IF($L54="","",$L54&lt;P$3)</f>
        <v/>
      </c>
      <c r="Q54" s="53" t="str">
        <f t="shared" si="43"/>
        <v/>
      </c>
      <c r="R54" s="53" t="str">
        <f>IF(J54="","",J54&lt;=R$3)</f>
        <v/>
      </c>
    </row>
    <row r="55" ht="180.0" customHeight="1">
      <c r="A55" s="71" t="s">
        <v>104</v>
      </c>
      <c r="B55" s="71" t="s">
        <v>105</v>
      </c>
      <c r="C55" s="52" t="s">
        <v>266</v>
      </c>
      <c r="D55" s="52" t="s">
        <v>267</v>
      </c>
      <c r="E55" s="81"/>
      <c r="F55" s="71"/>
      <c r="G55" s="68"/>
      <c r="H55" s="67" t="s">
        <v>22</v>
      </c>
      <c r="I55" s="79"/>
      <c r="J55" s="70"/>
      <c r="K55" s="70"/>
      <c r="L55" s="70"/>
      <c r="M55" s="60">
        <v>45968.0</v>
      </c>
      <c r="N55" s="68"/>
      <c r="O55" s="52"/>
      <c r="P55" s="53"/>
      <c r="Q55" s="53"/>
      <c r="R55" s="53"/>
    </row>
    <row r="56" ht="22.5" customHeight="1">
      <c r="A56" s="71" t="s">
        <v>104</v>
      </c>
      <c r="B56" s="71" t="s">
        <v>105</v>
      </c>
      <c r="C56" s="52" t="s">
        <v>268</v>
      </c>
      <c r="D56" s="52" t="s">
        <v>269</v>
      </c>
      <c r="E56" s="84"/>
      <c r="F56" s="68"/>
      <c r="G56" s="66" t="s">
        <v>270</v>
      </c>
      <c r="H56" s="67" t="s">
        <v>271</v>
      </c>
      <c r="I56" s="79"/>
      <c r="J56" s="70"/>
      <c r="K56" s="70"/>
      <c r="L56" s="60">
        <v>46066.0</v>
      </c>
      <c r="M56" s="70"/>
      <c r="N56" s="68"/>
      <c r="O56" s="82"/>
      <c r="P56" s="53" t="b">
        <f t="shared" ref="P56:Q56" si="44">IF($L56="","",$L56&lt;P$3)</f>
        <v>1</v>
      </c>
      <c r="Q56" s="53" t="b">
        <f t="shared" si="44"/>
        <v>1</v>
      </c>
      <c r="R56" s="53" t="str">
        <f>IF(J56="","",J56&lt;=R$3)</f>
        <v/>
      </c>
    </row>
    <row r="57" ht="22.5" customHeight="1">
      <c r="A57" s="71" t="s">
        <v>104</v>
      </c>
      <c r="B57" s="71" t="s">
        <v>105</v>
      </c>
      <c r="C57" s="52" t="s">
        <v>272</v>
      </c>
      <c r="D57" s="52" t="s">
        <v>273</v>
      </c>
      <c r="E57" s="84"/>
      <c r="F57" s="68"/>
      <c r="G57" s="66" t="s">
        <v>274</v>
      </c>
      <c r="H57" s="67" t="s">
        <v>22</v>
      </c>
      <c r="I57" s="79"/>
      <c r="J57" s="70"/>
      <c r="K57" s="70"/>
      <c r="L57" s="70"/>
      <c r="M57" s="70"/>
      <c r="N57" s="68"/>
      <c r="O57" s="52" t="s">
        <v>275</v>
      </c>
      <c r="P57" s="53"/>
      <c r="Q57" s="53"/>
      <c r="R57" s="53"/>
    </row>
    <row r="58" ht="22.5" customHeight="1">
      <c r="A58" s="71" t="s">
        <v>104</v>
      </c>
      <c r="B58" s="71" t="s">
        <v>105</v>
      </c>
      <c r="C58" s="52" t="s">
        <v>276</v>
      </c>
      <c r="D58" s="52" t="s">
        <v>277</v>
      </c>
      <c r="E58" s="84"/>
      <c r="F58" s="68"/>
      <c r="G58" s="66" t="s">
        <v>278</v>
      </c>
      <c r="H58" s="67" t="s">
        <v>22</v>
      </c>
      <c r="I58" s="79"/>
      <c r="J58" s="60">
        <v>45971.0</v>
      </c>
      <c r="K58" s="60">
        <v>45971.0</v>
      </c>
      <c r="L58" s="60">
        <v>46010.0</v>
      </c>
      <c r="M58" s="60">
        <v>46010.0</v>
      </c>
      <c r="N58" s="68"/>
      <c r="O58" s="82"/>
      <c r="P58" s="53" t="b">
        <f t="shared" ref="P58:Q58" si="45">IF($L58="","",$L58&lt;P$3)</f>
        <v>1</v>
      </c>
      <c r="Q58" s="53" t="b">
        <f t="shared" si="45"/>
        <v>1</v>
      </c>
      <c r="R58" s="53" t="b">
        <f t="shared" ref="R58:R75" si="47">IF(J58="","",J58&lt;=R$3)</f>
        <v>1</v>
      </c>
    </row>
    <row r="59" ht="22.5" customHeight="1">
      <c r="A59" s="71" t="s">
        <v>104</v>
      </c>
      <c r="B59" s="71" t="s">
        <v>105</v>
      </c>
      <c r="C59" s="52" t="s">
        <v>279</v>
      </c>
      <c r="D59" s="52" t="s">
        <v>280</v>
      </c>
      <c r="E59" s="84"/>
      <c r="F59" s="71" t="s">
        <v>119</v>
      </c>
      <c r="G59" s="86"/>
      <c r="H59" s="67" t="s">
        <v>228</v>
      </c>
      <c r="I59" s="79"/>
      <c r="J59" s="70"/>
      <c r="K59" s="70"/>
      <c r="L59" s="70"/>
      <c r="M59" s="70"/>
      <c r="N59" s="68"/>
      <c r="O59" s="52" t="s">
        <v>281</v>
      </c>
      <c r="P59" s="53" t="str">
        <f t="shared" ref="P59:Q59" si="46">IF($L59="","",$L59&lt;P$3)</f>
        <v/>
      </c>
      <c r="Q59" s="53" t="str">
        <f t="shared" si="46"/>
        <v/>
      </c>
      <c r="R59" s="53" t="str">
        <f t="shared" si="47"/>
        <v/>
      </c>
    </row>
    <row r="60" ht="22.5" customHeight="1">
      <c r="A60" s="71" t="s">
        <v>104</v>
      </c>
      <c r="B60" s="71" t="s">
        <v>105</v>
      </c>
      <c r="C60" s="52" t="s">
        <v>282</v>
      </c>
      <c r="D60" s="52" t="s">
        <v>282</v>
      </c>
      <c r="E60" s="84"/>
      <c r="F60" s="71" t="s">
        <v>109</v>
      </c>
      <c r="G60" s="66" t="s">
        <v>283</v>
      </c>
      <c r="H60" s="67" t="s">
        <v>22</v>
      </c>
      <c r="I60" s="79"/>
      <c r="J60" s="60">
        <v>45978.0</v>
      </c>
      <c r="K60" s="60">
        <v>45978.0</v>
      </c>
      <c r="L60" s="60">
        <v>45982.0</v>
      </c>
      <c r="M60" s="60">
        <v>45982.0</v>
      </c>
      <c r="N60" s="68"/>
      <c r="O60" s="82"/>
      <c r="P60" s="53" t="b">
        <f t="shared" ref="P60:Q60" si="48">IF($L60="","",$L60&lt;P$3)</f>
        <v>1</v>
      </c>
      <c r="Q60" s="53" t="b">
        <f t="shared" si="48"/>
        <v>1</v>
      </c>
      <c r="R60" s="53" t="b">
        <f t="shared" si="47"/>
        <v>1</v>
      </c>
    </row>
    <row r="61" ht="22.5" customHeight="1">
      <c r="A61" s="71" t="s">
        <v>104</v>
      </c>
      <c r="B61" s="71" t="s">
        <v>105</v>
      </c>
      <c r="C61" s="52" t="s">
        <v>284</v>
      </c>
      <c r="D61" s="52" t="s">
        <v>285</v>
      </c>
      <c r="E61" s="84"/>
      <c r="F61" s="71"/>
      <c r="G61" s="66" t="s">
        <v>286</v>
      </c>
      <c r="H61" s="67" t="s">
        <v>271</v>
      </c>
      <c r="I61" s="79"/>
      <c r="J61" s="70"/>
      <c r="K61" s="70"/>
      <c r="L61" s="60">
        <v>46038.0</v>
      </c>
      <c r="M61" s="70"/>
      <c r="N61" s="68"/>
      <c r="O61" s="82"/>
      <c r="P61" s="53" t="b">
        <f t="shared" ref="P61:Q61" si="49">IF($L61="","",$L61&lt;P$3)</f>
        <v>1</v>
      </c>
      <c r="Q61" s="53" t="b">
        <f t="shared" si="49"/>
        <v>1</v>
      </c>
      <c r="R61" s="53" t="str">
        <f t="shared" si="47"/>
        <v/>
      </c>
    </row>
    <row r="62" ht="22.5" customHeight="1">
      <c r="A62" s="71" t="s">
        <v>104</v>
      </c>
      <c r="B62" s="71" t="s">
        <v>105</v>
      </c>
      <c r="C62" s="52" t="s">
        <v>287</v>
      </c>
      <c r="D62" s="52" t="s">
        <v>288</v>
      </c>
      <c r="E62" s="84"/>
      <c r="F62" s="71"/>
      <c r="G62" s="66" t="s">
        <v>289</v>
      </c>
      <c r="H62" s="67" t="s">
        <v>228</v>
      </c>
      <c r="I62" s="79"/>
      <c r="J62" s="70"/>
      <c r="K62" s="70"/>
      <c r="L62" s="60"/>
      <c r="M62" s="70"/>
      <c r="N62" s="68"/>
      <c r="O62" s="80" t="s">
        <v>290</v>
      </c>
      <c r="P62" s="53" t="str">
        <f t="shared" ref="P62:Q62" si="50">IF($L62="","",$L62&lt;P$3)</f>
        <v/>
      </c>
      <c r="Q62" s="53" t="str">
        <f t="shared" si="50"/>
        <v/>
      </c>
      <c r="R62" s="53" t="str">
        <f t="shared" si="47"/>
        <v/>
      </c>
    </row>
    <row r="63" ht="22.5" customHeight="1">
      <c r="A63" s="71" t="s">
        <v>104</v>
      </c>
      <c r="B63" s="71" t="s">
        <v>105</v>
      </c>
      <c r="C63" s="52" t="s">
        <v>291</v>
      </c>
      <c r="D63" s="52" t="s">
        <v>292</v>
      </c>
      <c r="E63" s="84"/>
      <c r="F63" s="71"/>
      <c r="G63" s="66" t="s">
        <v>293</v>
      </c>
      <c r="H63" s="67" t="s">
        <v>197</v>
      </c>
      <c r="I63" s="79"/>
      <c r="J63" s="70"/>
      <c r="K63" s="70"/>
      <c r="L63" s="60">
        <v>46066.0</v>
      </c>
      <c r="M63" s="70"/>
      <c r="N63" s="68"/>
      <c r="O63" s="87" t="s">
        <v>294</v>
      </c>
      <c r="P63" s="53" t="b">
        <f t="shared" ref="P63:Q63" si="51">IF($L63="","",$L63&lt;P$3)</f>
        <v>1</v>
      </c>
      <c r="Q63" s="53" t="b">
        <f t="shared" si="51"/>
        <v>1</v>
      </c>
      <c r="R63" s="53" t="str">
        <f t="shared" si="47"/>
        <v/>
      </c>
    </row>
    <row r="64" ht="22.5" customHeight="1">
      <c r="A64" s="71" t="s">
        <v>104</v>
      </c>
      <c r="B64" s="71" t="s">
        <v>105</v>
      </c>
      <c r="C64" s="52" t="s">
        <v>295</v>
      </c>
      <c r="D64" s="52" t="s">
        <v>296</v>
      </c>
      <c r="E64" s="84"/>
      <c r="F64" s="68"/>
      <c r="G64" s="66" t="s">
        <v>297</v>
      </c>
      <c r="H64" s="67" t="s">
        <v>22</v>
      </c>
      <c r="I64" s="79"/>
      <c r="J64" s="60">
        <v>45974.0</v>
      </c>
      <c r="K64" s="60">
        <v>45974.0</v>
      </c>
      <c r="L64" s="60">
        <v>45982.0</v>
      </c>
      <c r="M64" s="60">
        <v>45982.0</v>
      </c>
      <c r="N64" s="68"/>
      <c r="O64" s="80" t="s">
        <v>298</v>
      </c>
      <c r="P64" s="53" t="b">
        <f t="shared" ref="P64:Q64" si="52">IF($L64="","",$L64&lt;P$3)</f>
        <v>1</v>
      </c>
      <c r="Q64" s="53" t="b">
        <f t="shared" si="52"/>
        <v>1</v>
      </c>
      <c r="R64" s="53" t="b">
        <f t="shared" si="47"/>
        <v>1</v>
      </c>
    </row>
    <row r="65" ht="22.5" customHeight="1">
      <c r="A65" s="71" t="s">
        <v>104</v>
      </c>
      <c r="B65" s="71" t="s">
        <v>105</v>
      </c>
      <c r="C65" s="52" t="s">
        <v>299</v>
      </c>
      <c r="D65" s="52" t="s">
        <v>300</v>
      </c>
      <c r="E65" s="84"/>
      <c r="F65" s="71"/>
      <c r="G65" s="86"/>
      <c r="H65" s="67" t="s">
        <v>22</v>
      </c>
      <c r="I65" s="79"/>
      <c r="J65" s="70"/>
      <c r="K65" s="70"/>
      <c r="L65" s="60">
        <v>46002.0</v>
      </c>
      <c r="M65" s="70"/>
      <c r="N65" s="68"/>
      <c r="O65" s="87" t="s">
        <v>301</v>
      </c>
      <c r="P65" s="53" t="b">
        <f t="shared" ref="P65:Q65" si="53">IF($L65="","",$L65&lt;P$3)</f>
        <v>1</v>
      </c>
      <c r="Q65" s="53" t="b">
        <f t="shared" si="53"/>
        <v>1</v>
      </c>
      <c r="R65" s="53" t="str">
        <f t="shared" si="47"/>
        <v/>
      </c>
    </row>
    <row r="66" ht="22.5" customHeight="1">
      <c r="A66" s="46" t="s">
        <v>32</v>
      </c>
      <c r="B66" s="46" t="s">
        <v>32</v>
      </c>
      <c r="C66" s="13" t="s">
        <v>302</v>
      </c>
      <c r="D66" s="13" t="s">
        <v>303</v>
      </c>
      <c r="E66" s="88" t="s">
        <v>118</v>
      </c>
      <c r="H66" s="75" t="s">
        <v>22</v>
      </c>
      <c r="I66" s="89"/>
      <c r="J66" s="73"/>
      <c r="K66" s="73"/>
      <c r="L66" s="74">
        <v>46034.0</v>
      </c>
      <c r="M66" s="74">
        <v>46035.0</v>
      </c>
      <c r="O66" s="90" t="s">
        <v>304</v>
      </c>
      <c r="P66" s="53" t="b">
        <f t="shared" ref="P66:Q66" si="54">IF($L66="","",$L66&lt;P$3)</f>
        <v>1</v>
      </c>
      <c r="Q66" s="53" t="b">
        <f t="shared" si="54"/>
        <v>1</v>
      </c>
      <c r="R66" s="53" t="str">
        <f t="shared" si="47"/>
        <v/>
      </c>
    </row>
    <row r="67" ht="22.5" customHeight="1">
      <c r="A67" s="71" t="s">
        <v>104</v>
      </c>
      <c r="B67" s="71" t="s">
        <v>105</v>
      </c>
      <c r="C67" s="13" t="s">
        <v>305</v>
      </c>
      <c r="D67" s="16" t="s">
        <v>306</v>
      </c>
      <c r="E67" s="91"/>
      <c r="H67" s="75" t="s">
        <v>228</v>
      </c>
      <c r="I67" s="89"/>
      <c r="J67" s="73"/>
      <c r="K67" s="73"/>
      <c r="L67" s="74">
        <v>46059.0</v>
      </c>
      <c r="M67" s="73"/>
      <c r="O67" s="11"/>
      <c r="P67" s="53" t="b">
        <f t="shared" ref="P67:Q67" si="55">IF($L67="","",$L67&lt;P$3)</f>
        <v>1</v>
      </c>
      <c r="Q67" s="53" t="b">
        <f t="shared" si="55"/>
        <v>1</v>
      </c>
      <c r="R67" s="53" t="str">
        <f t="shared" si="47"/>
        <v/>
      </c>
    </row>
    <row r="68" ht="22.5" customHeight="1">
      <c r="A68" s="71" t="s">
        <v>104</v>
      </c>
      <c r="B68" s="71" t="s">
        <v>105</v>
      </c>
      <c r="C68" s="46" t="s">
        <v>307</v>
      </c>
      <c r="D68" s="18" t="s">
        <v>308</v>
      </c>
      <c r="E68" s="91"/>
      <c r="F68" s="46" t="s">
        <v>131</v>
      </c>
      <c r="H68" s="89"/>
      <c r="I68" s="89"/>
      <c r="J68" s="73"/>
      <c r="K68" s="73"/>
      <c r="L68" s="74"/>
      <c r="M68" s="73"/>
      <c r="O68" s="13" t="s">
        <v>309</v>
      </c>
      <c r="P68" s="53" t="str">
        <f t="shared" ref="P68:Q68" si="56">IF($L68="","",$L68&lt;P$3)</f>
        <v/>
      </c>
      <c r="Q68" s="53" t="str">
        <f t="shared" si="56"/>
        <v/>
      </c>
      <c r="R68" s="53" t="str">
        <f t="shared" si="47"/>
        <v/>
      </c>
    </row>
    <row r="69" ht="22.5" customHeight="1">
      <c r="A69" s="71" t="s">
        <v>104</v>
      </c>
      <c r="B69" s="71" t="s">
        <v>105</v>
      </c>
      <c r="C69" s="46" t="s">
        <v>307</v>
      </c>
      <c r="D69" s="18" t="s">
        <v>310</v>
      </c>
      <c r="E69" s="91"/>
      <c r="F69" s="46" t="s">
        <v>109</v>
      </c>
      <c r="G69" s="92" t="s">
        <v>311</v>
      </c>
      <c r="H69" s="75" t="s">
        <v>22</v>
      </c>
      <c r="I69" s="89"/>
      <c r="J69" s="73"/>
      <c r="K69" s="73"/>
      <c r="L69" s="74">
        <v>46059.0</v>
      </c>
      <c r="M69" s="73"/>
      <c r="O69" s="13" t="s">
        <v>312</v>
      </c>
      <c r="P69" s="53" t="b">
        <f t="shared" ref="P69:Q69" si="57">IF($L69="","",$L69&lt;P$3)</f>
        <v>1</v>
      </c>
      <c r="Q69" s="53" t="b">
        <f t="shared" si="57"/>
        <v>1</v>
      </c>
      <c r="R69" s="53" t="str">
        <f t="shared" si="47"/>
        <v/>
      </c>
    </row>
    <row r="70" ht="22.5" customHeight="1">
      <c r="A70" s="71" t="s">
        <v>104</v>
      </c>
      <c r="B70" s="71" t="s">
        <v>105</v>
      </c>
      <c r="C70" s="13" t="s">
        <v>313</v>
      </c>
      <c r="D70" s="18"/>
      <c r="E70" s="91"/>
      <c r="F70" s="46" t="s">
        <v>119</v>
      </c>
      <c r="H70" s="89"/>
      <c r="I70" s="89"/>
      <c r="J70" s="73"/>
      <c r="K70" s="73"/>
      <c r="L70" s="74"/>
      <c r="M70" s="73"/>
      <c r="O70" s="11"/>
      <c r="P70" s="53" t="str">
        <f t="shared" ref="P70:Q70" si="58">IF($L70="","",$L70&lt;P$3)</f>
        <v/>
      </c>
      <c r="Q70" s="53" t="str">
        <f t="shared" si="58"/>
        <v/>
      </c>
      <c r="R70" s="53" t="str">
        <f t="shared" si="47"/>
        <v/>
      </c>
    </row>
    <row r="71" ht="22.5" customHeight="1">
      <c r="A71" s="71" t="s">
        <v>104</v>
      </c>
      <c r="B71" s="71" t="s">
        <v>105</v>
      </c>
      <c r="C71" s="13" t="s">
        <v>305</v>
      </c>
      <c r="D71" s="13" t="s">
        <v>314</v>
      </c>
      <c r="E71" s="91"/>
      <c r="F71" s="46" t="s">
        <v>109</v>
      </c>
      <c r="H71" s="89"/>
      <c r="I71" s="89"/>
      <c r="J71" s="73"/>
      <c r="K71" s="73"/>
      <c r="L71" s="73"/>
      <c r="M71" s="73"/>
      <c r="O71" s="13" t="s">
        <v>315</v>
      </c>
      <c r="P71" s="53" t="str">
        <f t="shared" ref="P71:Q71" si="59">IF($L71="","",$L71&lt;P$3)</f>
        <v/>
      </c>
      <c r="Q71" s="53" t="str">
        <f t="shared" si="59"/>
        <v/>
      </c>
      <c r="R71" s="53" t="str">
        <f t="shared" si="47"/>
        <v/>
      </c>
    </row>
    <row r="72" ht="22.5" customHeight="1">
      <c r="A72" s="71" t="s">
        <v>104</v>
      </c>
      <c r="B72" s="71" t="s">
        <v>105</v>
      </c>
      <c r="C72" s="46" t="s">
        <v>307</v>
      </c>
      <c r="D72" s="18" t="s">
        <v>316</v>
      </c>
      <c r="E72" s="91"/>
      <c r="F72" s="46" t="s">
        <v>119</v>
      </c>
      <c r="H72" s="89"/>
      <c r="I72" s="89"/>
      <c r="J72" s="73"/>
      <c r="K72" s="73"/>
      <c r="L72" s="73"/>
      <c r="M72" s="73"/>
      <c r="O72" s="13" t="s">
        <v>317</v>
      </c>
      <c r="P72" s="53" t="str">
        <f t="shared" ref="P72:Q72" si="60">IF($L72="","",$L72&lt;P$3)</f>
        <v/>
      </c>
      <c r="Q72" s="53" t="str">
        <f t="shared" si="60"/>
        <v/>
      </c>
      <c r="R72" s="53" t="str">
        <f t="shared" si="47"/>
        <v/>
      </c>
    </row>
    <row r="73" ht="22.5" customHeight="1">
      <c r="A73" s="71" t="s">
        <v>104</v>
      </c>
      <c r="B73" s="71" t="s">
        <v>105</v>
      </c>
      <c r="C73" s="16" t="s">
        <v>318</v>
      </c>
      <c r="D73" s="18" t="s">
        <v>319</v>
      </c>
      <c r="E73" s="91"/>
      <c r="F73" s="46" t="s">
        <v>119</v>
      </c>
      <c r="H73" s="89"/>
      <c r="I73" s="89"/>
      <c r="J73" s="73"/>
      <c r="K73" s="73"/>
      <c r="L73" s="73"/>
      <c r="M73" s="73"/>
      <c r="O73" s="13" t="s">
        <v>320</v>
      </c>
      <c r="P73" s="53" t="str">
        <f t="shared" ref="P73:Q73" si="61">IF($L73="","",$L73&lt;P$3)</f>
        <v/>
      </c>
      <c r="Q73" s="53" t="str">
        <f t="shared" si="61"/>
        <v/>
      </c>
      <c r="R73" s="53" t="str">
        <f t="shared" si="47"/>
        <v/>
      </c>
    </row>
    <row r="74" ht="22.5" customHeight="1">
      <c r="A74" s="71" t="s">
        <v>104</v>
      </c>
      <c r="B74" s="71" t="s">
        <v>105</v>
      </c>
      <c r="C74" s="18" t="s">
        <v>321</v>
      </c>
      <c r="D74" s="18" t="s">
        <v>322</v>
      </c>
      <c r="E74" s="88" t="s">
        <v>234</v>
      </c>
      <c r="F74" s="46" t="s">
        <v>131</v>
      </c>
      <c r="H74" s="89"/>
      <c r="I74" s="89"/>
      <c r="J74" s="73"/>
      <c r="K74" s="73"/>
      <c r="L74" s="74">
        <v>46129.0</v>
      </c>
      <c r="M74" s="73"/>
      <c r="O74" s="13" t="s">
        <v>323</v>
      </c>
      <c r="P74" s="53" t="b">
        <f t="shared" ref="P74:Q74" si="62">IF($L74="","",$L74&lt;P$3)</f>
        <v>0</v>
      </c>
      <c r="Q74" s="53" t="b">
        <f t="shared" si="62"/>
        <v>0</v>
      </c>
      <c r="R74" s="53" t="str">
        <f t="shared" si="47"/>
        <v/>
      </c>
    </row>
    <row r="75" ht="22.5" customHeight="1">
      <c r="A75" s="71" t="s">
        <v>104</v>
      </c>
      <c r="B75" s="71" t="s">
        <v>105</v>
      </c>
      <c r="C75" s="18" t="s">
        <v>324</v>
      </c>
      <c r="D75" s="18" t="s">
        <v>325</v>
      </c>
      <c r="E75" s="88" t="s">
        <v>326</v>
      </c>
      <c r="F75" s="46" t="s">
        <v>131</v>
      </c>
      <c r="H75" s="89"/>
      <c r="I75" s="89"/>
      <c r="J75" s="73"/>
      <c r="K75" s="73"/>
      <c r="L75" s="74">
        <v>46129.0</v>
      </c>
      <c r="M75" s="73"/>
      <c r="O75" s="13" t="s">
        <v>327</v>
      </c>
      <c r="P75" s="53" t="b">
        <f t="shared" ref="P75:Q75" si="63">IF($L75="","",$L75&lt;P$3)</f>
        <v>0</v>
      </c>
      <c r="Q75" s="53" t="b">
        <f t="shared" si="63"/>
        <v>0</v>
      </c>
      <c r="R75" s="53" t="str">
        <f t="shared" si="47"/>
        <v/>
      </c>
    </row>
    <row r="76">
      <c r="C76" s="9"/>
      <c r="D76" s="9"/>
      <c r="O76" s="9"/>
      <c r="P76" s="27"/>
      <c r="Q76" s="27"/>
      <c r="R76" s="27"/>
    </row>
    <row r="77">
      <c r="C77" s="9"/>
      <c r="D77" s="9"/>
      <c r="O77" s="9"/>
      <c r="P77" s="27"/>
      <c r="Q77" s="27"/>
      <c r="R77" s="27"/>
    </row>
    <row r="78">
      <c r="C78" s="9"/>
      <c r="D78" s="9"/>
      <c r="O78" s="9"/>
      <c r="P78" s="27"/>
      <c r="Q78" s="27"/>
      <c r="R78" s="27"/>
    </row>
    <row r="79">
      <c r="C79" s="9"/>
      <c r="D79" s="9"/>
      <c r="O79" s="9"/>
      <c r="P79" s="27"/>
      <c r="Q79" s="27"/>
      <c r="R79" s="27"/>
    </row>
    <row r="80">
      <c r="C80" s="9"/>
      <c r="D80" s="9"/>
      <c r="O80" s="9"/>
      <c r="P80" s="27"/>
      <c r="Q80" s="27"/>
      <c r="R80" s="27"/>
    </row>
    <row r="81">
      <c r="C81" s="9"/>
      <c r="D81" s="9"/>
      <c r="O81" s="9"/>
      <c r="P81" s="27"/>
      <c r="Q81" s="27"/>
      <c r="R81" s="27"/>
    </row>
    <row r="82">
      <c r="C82" s="9"/>
      <c r="D82" s="9"/>
      <c r="O82" s="9"/>
      <c r="P82" s="27"/>
      <c r="Q82" s="27"/>
      <c r="R82" s="27"/>
    </row>
    <row r="83">
      <c r="C83" s="9"/>
      <c r="D83" s="9"/>
      <c r="O83" s="9"/>
      <c r="P83" s="27"/>
      <c r="Q83" s="27"/>
      <c r="R83" s="27"/>
    </row>
    <row r="84">
      <c r="C84" s="9"/>
      <c r="D84" s="9"/>
      <c r="O84" s="9"/>
      <c r="P84" s="27"/>
      <c r="Q84" s="27"/>
      <c r="R84" s="27"/>
    </row>
    <row r="85">
      <c r="C85" s="9"/>
      <c r="D85" s="9"/>
      <c r="O85" s="9"/>
      <c r="P85" s="27"/>
      <c r="Q85" s="27"/>
      <c r="R85" s="27"/>
    </row>
    <row r="86">
      <c r="C86" s="9"/>
      <c r="D86" s="9"/>
      <c r="O86" s="9"/>
      <c r="P86" s="27"/>
      <c r="Q86" s="27"/>
      <c r="R86" s="27"/>
    </row>
    <row r="87">
      <c r="C87" s="9"/>
      <c r="D87" s="9"/>
      <c r="O87" s="9"/>
      <c r="P87" s="27"/>
      <c r="Q87" s="27"/>
      <c r="R87" s="27"/>
    </row>
    <row r="88">
      <c r="C88" s="9"/>
      <c r="D88" s="9"/>
      <c r="O88" s="9"/>
      <c r="P88" s="27"/>
      <c r="Q88" s="27"/>
      <c r="R88" s="27"/>
    </row>
    <row r="89">
      <c r="C89" s="9"/>
      <c r="D89" s="9"/>
      <c r="O89" s="9"/>
      <c r="P89" s="27"/>
      <c r="Q89" s="27"/>
      <c r="R89" s="27"/>
    </row>
    <row r="90">
      <c r="C90" s="9"/>
      <c r="D90" s="9"/>
      <c r="O90" s="9"/>
      <c r="P90" s="27"/>
      <c r="Q90" s="27"/>
      <c r="R90" s="27"/>
    </row>
    <row r="91">
      <c r="C91" s="9"/>
      <c r="D91" s="9"/>
      <c r="O91" s="9"/>
      <c r="P91" s="27"/>
      <c r="Q91" s="27"/>
      <c r="R91" s="27"/>
    </row>
    <row r="92">
      <c r="C92" s="9"/>
      <c r="D92" s="9"/>
      <c r="O92" s="9"/>
      <c r="P92" s="27"/>
      <c r="Q92" s="27"/>
      <c r="R92" s="27"/>
    </row>
    <row r="93">
      <c r="C93" s="9"/>
      <c r="D93" s="9"/>
      <c r="O93" s="9"/>
      <c r="P93" s="27"/>
      <c r="Q93" s="27"/>
      <c r="R93" s="27"/>
    </row>
    <row r="94">
      <c r="C94" s="9"/>
      <c r="D94" s="9"/>
      <c r="O94" s="9"/>
      <c r="P94" s="27"/>
      <c r="Q94" s="27"/>
      <c r="R94" s="27"/>
    </row>
    <row r="95">
      <c r="C95" s="9"/>
      <c r="D95" s="9"/>
      <c r="O95" s="9"/>
      <c r="P95" s="27"/>
      <c r="Q95" s="27"/>
      <c r="R95" s="27"/>
    </row>
    <row r="96">
      <c r="C96" s="9"/>
      <c r="D96" s="9"/>
      <c r="O96" s="9"/>
      <c r="P96" s="27"/>
      <c r="Q96" s="27"/>
      <c r="R96" s="27"/>
    </row>
    <row r="97">
      <c r="C97" s="9"/>
      <c r="D97" s="9"/>
      <c r="O97" s="9"/>
      <c r="P97" s="27"/>
      <c r="Q97" s="27"/>
      <c r="R97" s="27"/>
    </row>
    <row r="98">
      <c r="C98" s="9"/>
      <c r="D98" s="9"/>
      <c r="O98" s="9"/>
      <c r="P98" s="27"/>
      <c r="Q98" s="27"/>
      <c r="R98" s="27"/>
    </row>
    <row r="99">
      <c r="C99" s="9"/>
      <c r="D99" s="9"/>
      <c r="O99" s="9"/>
      <c r="P99" s="27"/>
      <c r="Q99" s="27"/>
      <c r="R99" s="27"/>
    </row>
    <row r="100">
      <c r="C100" s="9"/>
      <c r="D100" s="9"/>
      <c r="O100" s="9"/>
      <c r="P100" s="27"/>
      <c r="Q100" s="27"/>
      <c r="R100" s="27"/>
    </row>
    <row r="101">
      <c r="C101" s="9"/>
      <c r="D101" s="9"/>
      <c r="O101" s="9"/>
      <c r="P101" s="27"/>
      <c r="Q101" s="27"/>
      <c r="R101" s="27"/>
    </row>
    <row r="102">
      <c r="C102" s="9"/>
      <c r="D102" s="9"/>
      <c r="O102" s="9"/>
      <c r="P102" s="27"/>
      <c r="Q102" s="27"/>
      <c r="R102" s="27"/>
    </row>
    <row r="103">
      <c r="C103" s="9"/>
      <c r="D103" s="9"/>
      <c r="O103" s="9"/>
      <c r="P103" s="27"/>
      <c r="Q103" s="27"/>
      <c r="R103" s="27"/>
    </row>
    <row r="104">
      <c r="C104" s="9"/>
      <c r="D104" s="9"/>
      <c r="O104" s="9"/>
      <c r="P104" s="27"/>
      <c r="Q104" s="27"/>
      <c r="R104" s="27"/>
    </row>
    <row r="105">
      <c r="C105" s="9"/>
      <c r="D105" s="9"/>
      <c r="O105" s="9"/>
      <c r="P105" s="27"/>
      <c r="Q105" s="27"/>
      <c r="R105" s="27"/>
    </row>
    <row r="106">
      <c r="C106" s="9"/>
      <c r="D106" s="9"/>
      <c r="O106" s="9"/>
      <c r="P106" s="27"/>
      <c r="Q106" s="27"/>
      <c r="R106" s="27"/>
    </row>
    <row r="107">
      <c r="C107" s="9"/>
      <c r="D107" s="9"/>
      <c r="O107" s="9"/>
      <c r="P107" s="27"/>
      <c r="Q107" s="27"/>
      <c r="R107" s="27"/>
    </row>
    <row r="108">
      <c r="C108" s="9"/>
      <c r="D108" s="9"/>
      <c r="O108" s="9"/>
      <c r="P108" s="27"/>
      <c r="Q108" s="27"/>
      <c r="R108" s="27"/>
    </row>
    <row r="109">
      <c r="C109" s="9"/>
      <c r="D109" s="9"/>
      <c r="O109" s="9"/>
      <c r="P109" s="27"/>
      <c r="Q109" s="27"/>
      <c r="R109" s="27"/>
    </row>
    <row r="110">
      <c r="C110" s="9"/>
      <c r="D110" s="9"/>
      <c r="O110" s="9"/>
      <c r="P110" s="27"/>
      <c r="Q110" s="27"/>
      <c r="R110" s="27"/>
    </row>
    <row r="111">
      <c r="C111" s="9"/>
      <c r="D111" s="9"/>
      <c r="O111" s="9"/>
      <c r="P111" s="27"/>
      <c r="Q111" s="27"/>
      <c r="R111" s="27"/>
    </row>
    <row r="112">
      <c r="C112" s="9"/>
      <c r="D112" s="9"/>
      <c r="O112" s="9"/>
      <c r="P112" s="27"/>
      <c r="Q112" s="27"/>
      <c r="R112" s="27"/>
    </row>
    <row r="113">
      <c r="C113" s="9"/>
      <c r="D113" s="9"/>
      <c r="O113" s="9"/>
      <c r="P113" s="27"/>
      <c r="Q113" s="27"/>
      <c r="R113" s="27"/>
    </row>
    <row r="114">
      <c r="C114" s="9"/>
      <c r="D114" s="9"/>
      <c r="O114" s="9"/>
      <c r="P114" s="27"/>
      <c r="Q114" s="27"/>
      <c r="R114" s="27"/>
    </row>
    <row r="115">
      <c r="C115" s="9"/>
      <c r="D115" s="9"/>
      <c r="O115" s="9"/>
      <c r="P115" s="27"/>
      <c r="Q115" s="27"/>
      <c r="R115" s="27"/>
    </row>
    <row r="116">
      <c r="C116" s="9"/>
      <c r="D116" s="9"/>
      <c r="O116" s="9"/>
      <c r="P116" s="27"/>
      <c r="Q116" s="27"/>
      <c r="R116" s="27"/>
    </row>
    <row r="117">
      <c r="C117" s="9"/>
      <c r="D117" s="9"/>
      <c r="O117" s="9"/>
      <c r="P117" s="27"/>
      <c r="Q117" s="27"/>
      <c r="R117" s="27"/>
    </row>
    <row r="118">
      <c r="C118" s="9"/>
      <c r="D118" s="9"/>
      <c r="O118" s="9"/>
      <c r="P118" s="27"/>
      <c r="Q118" s="27"/>
      <c r="R118" s="27"/>
    </row>
    <row r="119">
      <c r="C119" s="9"/>
      <c r="D119" s="9"/>
      <c r="O119" s="9"/>
      <c r="P119" s="27"/>
      <c r="Q119" s="27"/>
      <c r="R119" s="27"/>
    </row>
    <row r="120">
      <c r="C120" s="9"/>
      <c r="D120" s="9"/>
      <c r="O120" s="9"/>
      <c r="P120" s="27"/>
      <c r="Q120" s="27"/>
      <c r="R120" s="27"/>
    </row>
    <row r="121">
      <c r="C121" s="9"/>
      <c r="D121" s="9"/>
      <c r="O121" s="9"/>
      <c r="P121" s="27"/>
      <c r="Q121" s="27"/>
      <c r="R121" s="27"/>
    </row>
    <row r="122">
      <c r="C122" s="9"/>
      <c r="D122" s="9"/>
      <c r="O122" s="9"/>
      <c r="P122" s="27"/>
      <c r="Q122" s="27"/>
      <c r="R122" s="27"/>
    </row>
    <row r="123">
      <c r="C123" s="9"/>
      <c r="D123" s="9"/>
      <c r="O123" s="9"/>
      <c r="P123" s="27"/>
      <c r="Q123" s="27"/>
      <c r="R123" s="27"/>
    </row>
    <row r="124">
      <c r="C124" s="9"/>
      <c r="D124" s="9"/>
      <c r="O124" s="9"/>
      <c r="P124" s="27"/>
      <c r="Q124" s="27"/>
      <c r="R124" s="27"/>
    </row>
    <row r="125">
      <c r="C125" s="9"/>
      <c r="D125" s="9"/>
      <c r="O125" s="9"/>
      <c r="P125" s="27"/>
      <c r="Q125" s="27"/>
      <c r="R125" s="27"/>
    </row>
    <row r="126">
      <c r="C126" s="9"/>
      <c r="D126" s="9"/>
      <c r="O126" s="9"/>
      <c r="P126" s="27"/>
      <c r="Q126" s="27"/>
      <c r="R126" s="27"/>
    </row>
    <row r="127">
      <c r="C127" s="9"/>
      <c r="D127" s="9"/>
      <c r="O127" s="9"/>
      <c r="P127" s="27"/>
      <c r="Q127" s="27"/>
      <c r="R127" s="27"/>
    </row>
    <row r="128">
      <c r="C128" s="9"/>
      <c r="D128" s="9"/>
      <c r="O128" s="9"/>
      <c r="P128" s="27"/>
      <c r="Q128" s="27"/>
      <c r="R128" s="27"/>
    </row>
    <row r="129">
      <c r="C129" s="9"/>
      <c r="D129" s="9"/>
      <c r="O129" s="9"/>
      <c r="P129" s="27"/>
      <c r="Q129" s="27"/>
      <c r="R129" s="27"/>
    </row>
    <row r="130">
      <c r="C130" s="9"/>
      <c r="D130" s="9"/>
      <c r="O130" s="9"/>
      <c r="P130" s="27"/>
      <c r="Q130" s="27"/>
      <c r="R130" s="27"/>
    </row>
    <row r="131">
      <c r="C131" s="9"/>
      <c r="D131" s="9"/>
      <c r="O131" s="9"/>
      <c r="P131" s="27"/>
      <c r="Q131" s="27"/>
      <c r="R131" s="27"/>
    </row>
    <row r="132">
      <c r="C132" s="9"/>
      <c r="D132" s="9"/>
      <c r="O132" s="9"/>
      <c r="P132" s="27"/>
      <c r="Q132" s="27"/>
      <c r="R132" s="27"/>
    </row>
    <row r="133">
      <c r="C133" s="9"/>
      <c r="D133" s="9"/>
      <c r="O133" s="9"/>
      <c r="P133" s="27"/>
      <c r="Q133" s="27"/>
      <c r="R133" s="27"/>
    </row>
    <row r="134">
      <c r="C134" s="9"/>
      <c r="D134" s="9"/>
      <c r="O134" s="9"/>
      <c r="P134" s="27"/>
      <c r="Q134" s="27"/>
      <c r="R134" s="27"/>
    </row>
    <row r="135">
      <c r="C135" s="9"/>
      <c r="D135" s="9"/>
      <c r="O135" s="9"/>
      <c r="P135" s="27"/>
      <c r="Q135" s="27"/>
      <c r="R135" s="27"/>
    </row>
    <row r="136">
      <c r="C136" s="9"/>
      <c r="D136" s="9"/>
      <c r="O136" s="9"/>
      <c r="P136" s="27"/>
      <c r="Q136" s="27"/>
      <c r="R136" s="27"/>
    </row>
    <row r="137">
      <c r="C137" s="9"/>
      <c r="D137" s="9"/>
      <c r="O137" s="9"/>
      <c r="P137" s="27"/>
      <c r="Q137" s="27"/>
      <c r="R137" s="27"/>
    </row>
    <row r="138">
      <c r="C138" s="9"/>
      <c r="D138" s="9"/>
      <c r="O138" s="9"/>
      <c r="P138" s="27"/>
      <c r="Q138" s="27"/>
      <c r="R138" s="27"/>
    </row>
    <row r="139">
      <c r="C139" s="9"/>
      <c r="D139" s="9"/>
      <c r="O139" s="9"/>
      <c r="P139" s="27"/>
      <c r="Q139" s="27"/>
      <c r="R139" s="27"/>
    </row>
    <row r="140">
      <c r="C140" s="9"/>
      <c r="D140" s="9"/>
      <c r="O140" s="9"/>
      <c r="P140" s="27"/>
      <c r="Q140" s="27"/>
      <c r="R140" s="27"/>
    </row>
    <row r="141">
      <c r="C141" s="9"/>
      <c r="D141" s="9"/>
      <c r="O141" s="9"/>
      <c r="P141" s="27"/>
      <c r="Q141" s="27"/>
      <c r="R141" s="27"/>
    </row>
    <row r="142">
      <c r="C142" s="9"/>
      <c r="D142" s="9"/>
      <c r="O142" s="9"/>
      <c r="P142" s="27"/>
      <c r="Q142" s="27"/>
      <c r="R142" s="27"/>
    </row>
    <row r="143">
      <c r="C143" s="9"/>
      <c r="D143" s="9"/>
      <c r="O143" s="9"/>
      <c r="P143" s="27"/>
      <c r="Q143" s="27"/>
      <c r="R143" s="27"/>
    </row>
    <row r="144">
      <c r="C144" s="9"/>
      <c r="D144" s="9"/>
      <c r="O144" s="9"/>
      <c r="P144" s="27"/>
      <c r="Q144" s="27"/>
      <c r="R144" s="27"/>
    </row>
    <row r="145">
      <c r="C145" s="9"/>
      <c r="D145" s="9"/>
      <c r="O145" s="9"/>
      <c r="P145" s="27"/>
      <c r="Q145" s="27"/>
      <c r="R145" s="27"/>
    </row>
    <row r="146">
      <c r="C146" s="9"/>
      <c r="D146" s="9"/>
      <c r="O146" s="9"/>
      <c r="P146" s="27"/>
      <c r="Q146" s="27"/>
      <c r="R146" s="27"/>
    </row>
    <row r="147">
      <c r="C147" s="9"/>
      <c r="D147" s="9"/>
      <c r="O147" s="9"/>
      <c r="P147" s="27"/>
      <c r="Q147" s="27"/>
      <c r="R147" s="27"/>
    </row>
    <row r="148">
      <c r="C148" s="9"/>
      <c r="D148" s="9"/>
      <c r="O148" s="9"/>
      <c r="P148" s="27"/>
      <c r="Q148" s="27"/>
      <c r="R148" s="27"/>
    </row>
    <row r="149">
      <c r="C149" s="9"/>
      <c r="D149" s="9"/>
      <c r="O149" s="9"/>
      <c r="P149" s="27"/>
      <c r="Q149" s="27"/>
      <c r="R149" s="27"/>
    </row>
    <row r="150">
      <c r="C150" s="9"/>
      <c r="D150" s="9"/>
      <c r="O150" s="9"/>
      <c r="P150" s="27"/>
      <c r="Q150" s="27"/>
      <c r="R150" s="27"/>
    </row>
    <row r="151">
      <c r="C151" s="9"/>
      <c r="D151" s="9"/>
      <c r="O151" s="9"/>
      <c r="P151" s="27"/>
      <c r="Q151" s="27"/>
      <c r="R151" s="27"/>
    </row>
    <row r="152">
      <c r="C152" s="9"/>
      <c r="D152" s="9"/>
      <c r="O152" s="9"/>
      <c r="P152" s="27"/>
      <c r="Q152" s="27"/>
      <c r="R152" s="27"/>
    </row>
    <row r="153">
      <c r="C153" s="9"/>
      <c r="D153" s="9"/>
      <c r="O153" s="9"/>
      <c r="P153" s="27"/>
      <c r="Q153" s="27"/>
      <c r="R153" s="27"/>
    </row>
    <row r="154">
      <c r="C154" s="9"/>
      <c r="D154" s="9"/>
      <c r="O154" s="9"/>
      <c r="P154" s="27"/>
      <c r="Q154" s="27"/>
      <c r="R154" s="27"/>
    </row>
    <row r="155">
      <c r="C155" s="9"/>
      <c r="D155" s="9"/>
      <c r="O155" s="9"/>
      <c r="P155" s="27"/>
      <c r="Q155" s="27"/>
      <c r="R155" s="27"/>
    </row>
    <row r="156">
      <c r="C156" s="9"/>
      <c r="D156" s="9"/>
      <c r="O156" s="9"/>
      <c r="P156" s="27"/>
      <c r="Q156" s="27"/>
      <c r="R156" s="27"/>
    </row>
    <row r="157">
      <c r="C157" s="9"/>
      <c r="D157" s="9"/>
      <c r="O157" s="9"/>
      <c r="P157" s="27"/>
      <c r="Q157" s="27"/>
      <c r="R157" s="27"/>
    </row>
    <row r="158">
      <c r="C158" s="9"/>
      <c r="D158" s="9"/>
      <c r="O158" s="9"/>
      <c r="P158" s="27"/>
      <c r="Q158" s="27"/>
      <c r="R158" s="27"/>
    </row>
    <row r="159">
      <c r="C159" s="9"/>
      <c r="D159" s="9"/>
      <c r="O159" s="9"/>
      <c r="P159" s="27"/>
      <c r="Q159" s="27"/>
      <c r="R159" s="27"/>
    </row>
    <row r="160">
      <c r="C160" s="9"/>
      <c r="D160" s="9"/>
      <c r="O160" s="9"/>
      <c r="P160" s="27"/>
      <c r="Q160" s="27"/>
      <c r="R160" s="27"/>
    </row>
    <row r="161">
      <c r="C161" s="9"/>
      <c r="D161" s="9"/>
      <c r="O161" s="9"/>
      <c r="P161" s="27"/>
      <c r="Q161" s="27"/>
      <c r="R161" s="27"/>
    </row>
    <row r="162">
      <c r="C162" s="9"/>
      <c r="D162" s="9"/>
      <c r="O162" s="9"/>
      <c r="P162" s="27"/>
      <c r="Q162" s="27"/>
      <c r="R162" s="27"/>
    </row>
    <row r="163">
      <c r="C163" s="9"/>
      <c r="D163" s="9"/>
      <c r="O163" s="9"/>
      <c r="P163" s="27"/>
      <c r="Q163" s="27"/>
      <c r="R163" s="27"/>
    </row>
    <row r="164">
      <c r="C164" s="9"/>
      <c r="D164" s="9"/>
      <c r="O164" s="9"/>
      <c r="P164" s="27"/>
      <c r="Q164" s="27"/>
      <c r="R164" s="27"/>
    </row>
    <row r="165">
      <c r="C165" s="9"/>
      <c r="D165" s="9"/>
      <c r="O165" s="9"/>
      <c r="P165" s="27"/>
      <c r="Q165" s="27"/>
      <c r="R165" s="27"/>
    </row>
    <row r="166">
      <c r="C166" s="9"/>
      <c r="D166" s="9"/>
      <c r="O166" s="9"/>
      <c r="P166" s="27"/>
      <c r="Q166" s="27"/>
      <c r="R166" s="27"/>
    </row>
    <row r="167">
      <c r="C167" s="9"/>
      <c r="D167" s="9"/>
      <c r="O167" s="9"/>
      <c r="P167" s="27"/>
      <c r="Q167" s="27"/>
      <c r="R167" s="27"/>
    </row>
    <row r="168">
      <c r="C168" s="9"/>
      <c r="D168" s="9"/>
      <c r="O168" s="9"/>
      <c r="P168" s="27"/>
      <c r="Q168" s="27"/>
      <c r="R168" s="27"/>
    </row>
    <row r="169">
      <c r="C169" s="9"/>
      <c r="D169" s="9"/>
      <c r="O169" s="9"/>
      <c r="P169" s="27"/>
      <c r="Q169" s="27"/>
      <c r="R169" s="27"/>
    </row>
    <row r="170">
      <c r="C170" s="9"/>
      <c r="D170" s="9"/>
      <c r="O170" s="9"/>
      <c r="P170" s="27"/>
      <c r="Q170" s="27"/>
      <c r="R170" s="27"/>
    </row>
    <row r="171">
      <c r="C171" s="9"/>
      <c r="D171" s="9"/>
      <c r="O171" s="9"/>
      <c r="P171" s="27"/>
      <c r="Q171" s="27"/>
      <c r="R171" s="27"/>
    </row>
    <row r="172">
      <c r="C172" s="9"/>
      <c r="D172" s="9"/>
      <c r="O172" s="9"/>
      <c r="P172" s="27"/>
      <c r="Q172" s="27"/>
      <c r="R172" s="27"/>
    </row>
    <row r="173">
      <c r="C173" s="9"/>
      <c r="D173" s="9"/>
      <c r="O173" s="9"/>
      <c r="P173" s="27"/>
      <c r="Q173" s="27"/>
      <c r="R173" s="27"/>
    </row>
    <row r="174">
      <c r="C174" s="9"/>
      <c r="D174" s="9"/>
      <c r="O174" s="9"/>
      <c r="P174" s="27"/>
      <c r="Q174" s="27"/>
      <c r="R174" s="27"/>
    </row>
    <row r="175">
      <c r="C175" s="9"/>
      <c r="D175" s="9"/>
      <c r="O175" s="9"/>
      <c r="P175" s="27"/>
      <c r="Q175" s="27"/>
      <c r="R175" s="27"/>
    </row>
    <row r="176">
      <c r="C176" s="9"/>
      <c r="D176" s="9"/>
      <c r="O176" s="9"/>
      <c r="P176" s="27"/>
      <c r="Q176" s="27"/>
      <c r="R176" s="27"/>
    </row>
    <row r="177">
      <c r="C177" s="9"/>
      <c r="D177" s="9"/>
      <c r="O177" s="9"/>
      <c r="P177" s="27"/>
      <c r="Q177" s="27"/>
      <c r="R177" s="27"/>
    </row>
    <row r="178">
      <c r="C178" s="9"/>
      <c r="D178" s="9"/>
      <c r="O178" s="9"/>
      <c r="P178" s="27"/>
      <c r="Q178" s="27"/>
      <c r="R178" s="27"/>
    </row>
    <row r="179">
      <c r="C179" s="9"/>
      <c r="D179" s="9"/>
      <c r="O179" s="9"/>
      <c r="P179" s="27"/>
      <c r="Q179" s="27"/>
      <c r="R179" s="27"/>
    </row>
    <row r="180">
      <c r="C180" s="9"/>
      <c r="D180" s="9"/>
      <c r="O180" s="9"/>
      <c r="P180" s="27"/>
      <c r="Q180" s="27"/>
      <c r="R180" s="27"/>
    </row>
    <row r="181">
      <c r="C181" s="9"/>
      <c r="D181" s="9"/>
      <c r="O181" s="9"/>
      <c r="P181" s="27"/>
      <c r="Q181" s="27"/>
      <c r="R181" s="27"/>
    </row>
    <row r="182">
      <c r="C182" s="9"/>
      <c r="D182" s="9"/>
      <c r="O182" s="9"/>
      <c r="P182" s="27"/>
      <c r="Q182" s="27"/>
      <c r="R182" s="27"/>
    </row>
    <row r="183">
      <c r="C183" s="9"/>
      <c r="D183" s="9"/>
      <c r="O183" s="9"/>
      <c r="P183" s="27"/>
      <c r="Q183" s="27"/>
      <c r="R183" s="27"/>
    </row>
    <row r="184">
      <c r="C184" s="9"/>
      <c r="D184" s="9"/>
      <c r="O184" s="9"/>
      <c r="P184" s="27"/>
      <c r="Q184" s="27"/>
      <c r="R184" s="27"/>
    </row>
    <row r="185">
      <c r="C185" s="9"/>
      <c r="D185" s="9"/>
      <c r="O185" s="9"/>
      <c r="P185" s="27"/>
      <c r="Q185" s="27"/>
      <c r="R185" s="27"/>
    </row>
    <row r="186">
      <c r="C186" s="9"/>
      <c r="D186" s="9"/>
      <c r="O186" s="9"/>
      <c r="P186" s="27"/>
      <c r="Q186" s="27"/>
      <c r="R186" s="27"/>
    </row>
    <row r="187">
      <c r="C187" s="9"/>
      <c r="D187" s="9"/>
      <c r="O187" s="9"/>
      <c r="P187" s="27"/>
      <c r="Q187" s="27"/>
      <c r="R187" s="27"/>
    </row>
    <row r="188">
      <c r="C188" s="9"/>
      <c r="D188" s="9"/>
      <c r="O188" s="9"/>
      <c r="P188" s="27"/>
      <c r="Q188" s="27"/>
      <c r="R188" s="27"/>
    </row>
    <row r="189">
      <c r="C189" s="9"/>
      <c r="D189" s="9"/>
      <c r="O189" s="9"/>
      <c r="P189" s="27"/>
      <c r="Q189" s="27"/>
      <c r="R189" s="27"/>
    </row>
    <row r="190">
      <c r="C190" s="9"/>
      <c r="D190" s="9"/>
      <c r="O190" s="9"/>
      <c r="P190" s="27"/>
      <c r="Q190" s="27"/>
      <c r="R190" s="27"/>
    </row>
    <row r="191">
      <c r="C191" s="9"/>
      <c r="D191" s="9"/>
      <c r="O191" s="9"/>
      <c r="P191" s="27"/>
      <c r="Q191" s="27"/>
      <c r="R191" s="27"/>
    </row>
    <row r="192">
      <c r="C192" s="9"/>
      <c r="D192" s="9"/>
      <c r="O192" s="9"/>
      <c r="P192" s="27"/>
      <c r="Q192" s="27"/>
      <c r="R192" s="27"/>
    </row>
    <row r="193">
      <c r="C193" s="9"/>
      <c r="D193" s="9"/>
      <c r="O193" s="9"/>
      <c r="P193" s="27"/>
      <c r="Q193" s="27"/>
      <c r="R193" s="27"/>
    </row>
    <row r="194">
      <c r="C194" s="9"/>
      <c r="D194" s="9"/>
      <c r="O194" s="9"/>
      <c r="P194" s="27"/>
      <c r="Q194" s="27"/>
      <c r="R194" s="27"/>
    </row>
    <row r="195">
      <c r="C195" s="9"/>
      <c r="D195" s="9"/>
      <c r="O195" s="9"/>
      <c r="P195" s="27"/>
      <c r="Q195" s="27"/>
      <c r="R195" s="27"/>
    </row>
    <row r="196">
      <c r="C196" s="9"/>
      <c r="D196" s="9"/>
      <c r="O196" s="9"/>
      <c r="P196" s="27"/>
      <c r="Q196" s="27"/>
      <c r="R196" s="27"/>
    </row>
    <row r="197">
      <c r="C197" s="9"/>
      <c r="D197" s="9"/>
      <c r="O197" s="9"/>
      <c r="P197" s="27"/>
      <c r="Q197" s="27"/>
      <c r="R197" s="27"/>
    </row>
    <row r="198">
      <c r="C198" s="9"/>
      <c r="D198" s="9"/>
      <c r="O198" s="9"/>
      <c r="P198" s="27"/>
      <c r="Q198" s="27"/>
      <c r="R198" s="27"/>
    </row>
    <row r="199">
      <c r="C199" s="9"/>
      <c r="D199" s="9"/>
      <c r="O199" s="9"/>
      <c r="P199" s="27"/>
      <c r="Q199" s="27"/>
      <c r="R199" s="27"/>
    </row>
    <row r="200">
      <c r="C200" s="9"/>
      <c r="D200" s="9"/>
      <c r="O200" s="9"/>
      <c r="P200" s="27"/>
      <c r="Q200" s="27"/>
      <c r="R200" s="27"/>
    </row>
    <row r="201">
      <c r="C201" s="9"/>
      <c r="D201" s="9"/>
      <c r="O201" s="9"/>
      <c r="P201" s="27"/>
      <c r="Q201" s="27"/>
      <c r="R201" s="27"/>
    </row>
    <row r="202">
      <c r="C202" s="9"/>
      <c r="D202" s="9"/>
      <c r="O202" s="9"/>
      <c r="P202" s="27"/>
      <c r="Q202" s="27"/>
      <c r="R202" s="27"/>
    </row>
    <row r="203">
      <c r="C203" s="9"/>
      <c r="D203" s="9"/>
      <c r="O203" s="9"/>
      <c r="P203" s="27"/>
      <c r="Q203" s="27"/>
      <c r="R203" s="27"/>
    </row>
    <row r="204">
      <c r="C204" s="9"/>
      <c r="D204" s="9"/>
      <c r="O204" s="9"/>
      <c r="P204" s="27"/>
      <c r="Q204" s="27"/>
      <c r="R204" s="27"/>
    </row>
    <row r="205">
      <c r="C205" s="9"/>
      <c r="D205" s="9"/>
      <c r="O205" s="9"/>
      <c r="P205" s="27"/>
      <c r="Q205" s="27"/>
      <c r="R205" s="27"/>
    </row>
    <row r="206">
      <c r="C206" s="9"/>
      <c r="D206" s="9"/>
      <c r="O206" s="9"/>
      <c r="P206" s="27"/>
      <c r="Q206" s="27"/>
      <c r="R206" s="27"/>
    </row>
    <row r="207">
      <c r="C207" s="9"/>
      <c r="D207" s="9"/>
      <c r="O207" s="9"/>
      <c r="P207" s="27"/>
      <c r="Q207" s="27"/>
      <c r="R207" s="27"/>
    </row>
    <row r="208">
      <c r="C208" s="9"/>
      <c r="D208" s="9"/>
      <c r="O208" s="9"/>
      <c r="P208" s="27"/>
      <c r="Q208" s="27"/>
      <c r="R208" s="27"/>
    </row>
    <row r="209">
      <c r="C209" s="9"/>
      <c r="D209" s="9"/>
      <c r="O209" s="9"/>
      <c r="P209" s="27"/>
      <c r="Q209" s="27"/>
      <c r="R209" s="27"/>
    </row>
    <row r="210">
      <c r="C210" s="9"/>
      <c r="D210" s="9"/>
      <c r="O210" s="9"/>
      <c r="P210" s="27"/>
      <c r="Q210" s="27"/>
      <c r="R210" s="27"/>
    </row>
    <row r="211">
      <c r="C211" s="9"/>
      <c r="D211" s="9"/>
      <c r="O211" s="9"/>
      <c r="P211" s="27"/>
      <c r="Q211" s="27"/>
      <c r="R211" s="27"/>
    </row>
    <row r="212">
      <c r="C212" s="9"/>
      <c r="D212" s="9"/>
      <c r="O212" s="9"/>
      <c r="P212" s="27"/>
      <c r="Q212" s="27"/>
      <c r="R212" s="27"/>
    </row>
    <row r="213">
      <c r="C213" s="9"/>
      <c r="D213" s="9"/>
      <c r="O213" s="9"/>
      <c r="P213" s="27"/>
      <c r="Q213" s="27"/>
      <c r="R213" s="27"/>
    </row>
    <row r="214">
      <c r="C214" s="9"/>
      <c r="D214" s="9"/>
      <c r="O214" s="9"/>
      <c r="P214" s="27"/>
      <c r="Q214" s="27"/>
      <c r="R214" s="27"/>
    </row>
    <row r="215">
      <c r="C215" s="9"/>
      <c r="D215" s="9"/>
      <c r="O215" s="9"/>
      <c r="P215" s="27"/>
      <c r="Q215" s="27"/>
      <c r="R215" s="27"/>
    </row>
    <row r="216">
      <c r="C216" s="9"/>
      <c r="D216" s="9"/>
      <c r="O216" s="9"/>
      <c r="P216" s="27"/>
      <c r="Q216" s="27"/>
      <c r="R216" s="27"/>
    </row>
    <row r="217">
      <c r="C217" s="9"/>
      <c r="D217" s="9"/>
      <c r="O217" s="9"/>
      <c r="P217" s="27"/>
      <c r="Q217" s="27"/>
      <c r="R217" s="27"/>
    </row>
    <row r="218">
      <c r="C218" s="9"/>
      <c r="D218" s="9"/>
      <c r="O218" s="9"/>
      <c r="P218" s="27"/>
      <c r="Q218" s="27"/>
      <c r="R218" s="27"/>
    </row>
    <row r="219">
      <c r="C219" s="9"/>
      <c r="D219" s="9"/>
      <c r="O219" s="9"/>
      <c r="P219" s="27"/>
      <c r="Q219" s="27"/>
      <c r="R219" s="27"/>
    </row>
    <row r="220">
      <c r="C220" s="9"/>
      <c r="D220" s="9"/>
      <c r="O220" s="9"/>
      <c r="P220" s="27"/>
      <c r="Q220" s="27"/>
      <c r="R220" s="27"/>
    </row>
    <row r="221">
      <c r="C221" s="9"/>
      <c r="D221" s="9"/>
      <c r="O221" s="9"/>
      <c r="P221" s="27"/>
      <c r="Q221" s="27"/>
      <c r="R221" s="27"/>
    </row>
    <row r="222">
      <c r="C222" s="9"/>
      <c r="D222" s="9"/>
      <c r="O222" s="9"/>
      <c r="P222" s="27"/>
      <c r="Q222" s="27"/>
      <c r="R222" s="27"/>
    </row>
    <row r="223">
      <c r="C223" s="9"/>
      <c r="D223" s="9"/>
      <c r="O223" s="9"/>
      <c r="P223" s="27"/>
      <c r="Q223" s="27"/>
      <c r="R223" s="27"/>
    </row>
    <row r="224">
      <c r="C224" s="9"/>
      <c r="D224" s="9"/>
      <c r="O224" s="9"/>
      <c r="P224" s="27"/>
      <c r="Q224" s="27"/>
      <c r="R224" s="27"/>
    </row>
    <row r="225">
      <c r="C225" s="9"/>
      <c r="D225" s="9"/>
      <c r="O225" s="9"/>
      <c r="P225" s="27"/>
      <c r="Q225" s="27"/>
      <c r="R225" s="27"/>
    </row>
    <row r="226">
      <c r="C226" s="9"/>
      <c r="D226" s="9"/>
      <c r="O226" s="9"/>
      <c r="P226" s="27"/>
      <c r="Q226" s="27"/>
      <c r="R226" s="27"/>
    </row>
    <row r="227">
      <c r="C227" s="9"/>
      <c r="D227" s="9"/>
      <c r="O227" s="9"/>
      <c r="P227" s="27"/>
      <c r="Q227" s="27"/>
      <c r="R227" s="27"/>
    </row>
    <row r="228">
      <c r="C228" s="9"/>
      <c r="D228" s="9"/>
      <c r="O228" s="9"/>
      <c r="P228" s="27"/>
      <c r="Q228" s="27"/>
      <c r="R228" s="27"/>
    </row>
    <row r="229">
      <c r="C229" s="9"/>
      <c r="D229" s="9"/>
      <c r="O229" s="9"/>
      <c r="P229" s="27"/>
      <c r="Q229" s="27"/>
      <c r="R229" s="27"/>
    </row>
    <row r="230">
      <c r="C230" s="9"/>
      <c r="D230" s="9"/>
      <c r="O230" s="9"/>
      <c r="P230" s="27"/>
      <c r="Q230" s="27"/>
      <c r="R230" s="27"/>
    </row>
    <row r="231">
      <c r="C231" s="9"/>
      <c r="D231" s="9"/>
      <c r="O231" s="9"/>
      <c r="P231" s="27"/>
      <c r="Q231" s="27"/>
      <c r="R231" s="27"/>
    </row>
    <row r="232">
      <c r="C232" s="9"/>
      <c r="D232" s="9"/>
      <c r="O232" s="9"/>
      <c r="P232" s="27"/>
      <c r="Q232" s="27"/>
      <c r="R232" s="27"/>
    </row>
    <row r="233">
      <c r="C233" s="9"/>
      <c r="D233" s="9"/>
      <c r="O233" s="9"/>
      <c r="P233" s="27"/>
      <c r="Q233" s="27"/>
      <c r="R233" s="27"/>
    </row>
    <row r="234">
      <c r="C234" s="9"/>
      <c r="D234" s="9"/>
      <c r="O234" s="9"/>
      <c r="P234" s="27"/>
      <c r="Q234" s="27"/>
      <c r="R234" s="27"/>
    </row>
    <row r="235">
      <c r="C235" s="9"/>
      <c r="D235" s="9"/>
      <c r="O235" s="9"/>
      <c r="P235" s="27"/>
      <c r="Q235" s="27"/>
      <c r="R235" s="27"/>
    </row>
    <row r="236">
      <c r="C236" s="9"/>
      <c r="D236" s="9"/>
      <c r="O236" s="9"/>
      <c r="P236" s="27"/>
      <c r="Q236" s="27"/>
      <c r="R236" s="27"/>
    </row>
    <row r="237">
      <c r="C237" s="9"/>
      <c r="D237" s="9"/>
      <c r="O237" s="9"/>
      <c r="P237" s="27"/>
      <c r="Q237" s="27"/>
      <c r="R237" s="27"/>
    </row>
    <row r="238">
      <c r="C238" s="9"/>
      <c r="D238" s="9"/>
      <c r="O238" s="9"/>
      <c r="P238" s="27"/>
      <c r="Q238" s="27"/>
      <c r="R238" s="27"/>
    </row>
    <row r="239">
      <c r="C239" s="9"/>
      <c r="D239" s="9"/>
      <c r="O239" s="9"/>
      <c r="P239" s="27"/>
      <c r="Q239" s="27"/>
      <c r="R239" s="27"/>
    </row>
    <row r="240">
      <c r="C240" s="9"/>
      <c r="D240" s="9"/>
      <c r="O240" s="9"/>
      <c r="P240" s="27"/>
      <c r="Q240" s="27"/>
      <c r="R240" s="27"/>
    </row>
    <row r="241">
      <c r="C241" s="9"/>
      <c r="D241" s="9"/>
      <c r="O241" s="9"/>
      <c r="P241" s="27"/>
      <c r="Q241" s="27"/>
      <c r="R241" s="27"/>
    </row>
    <row r="242">
      <c r="C242" s="9"/>
      <c r="D242" s="9"/>
      <c r="O242" s="9"/>
      <c r="P242" s="27"/>
      <c r="Q242" s="27"/>
      <c r="R242" s="27"/>
    </row>
    <row r="243">
      <c r="C243" s="9"/>
      <c r="D243" s="9"/>
      <c r="O243" s="9"/>
      <c r="P243" s="27"/>
      <c r="Q243" s="27"/>
      <c r="R243" s="27"/>
    </row>
    <row r="244">
      <c r="C244" s="9"/>
      <c r="D244" s="9"/>
      <c r="O244" s="9"/>
      <c r="P244" s="27"/>
      <c r="Q244" s="27"/>
      <c r="R244" s="27"/>
    </row>
    <row r="245">
      <c r="C245" s="9"/>
      <c r="D245" s="9"/>
      <c r="O245" s="9"/>
      <c r="P245" s="27"/>
      <c r="Q245" s="27"/>
      <c r="R245" s="27"/>
    </row>
    <row r="246">
      <c r="C246" s="9"/>
      <c r="D246" s="9"/>
      <c r="O246" s="9"/>
      <c r="P246" s="27"/>
      <c r="Q246" s="27"/>
      <c r="R246" s="27"/>
    </row>
    <row r="247">
      <c r="C247" s="9"/>
      <c r="D247" s="9"/>
      <c r="O247" s="9"/>
      <c r="P247" s="27"/>
      <c r="Q247" s="27"/>
      <c r="R247" s="27"/>
    </row>
    <row r="248">
      <c r="C248" s="9"/>
      <c r="D248" s="9"/>
      <c r="O248" s="9"/>
      <c r="P248" s="27"/>
      <c r="Q248" s="27"/>
      <c r="R248" s="27"/>
    </row>
    <row r="249">
      <c r="C249" s="9"/>
      <c r="D249" s="9"/>
      <c r="O249" s="9"/>
      <c r="P249" s="27"/>
      <c r="Q249" s="27"/>
      <c r="R249" s="27"/>
    </row>
    <row r="250">
      <c r="C250" s="9"/>
      <c r="D250" s="9"/>
      <c r="O250" s="9"/>
      <c r="P250" s="27"/>
      <c r="Q250" s="27"/>
      <c r="R250" s="27"/>
    </row>
    <row r="251">
      <c r="C251" s="9"/>
      <c r="D251" s="9"/>
      <c r="O251" s="9"/>
      <c r="P251" s="27"/>
      <c r="Q251" s="27"/>
      <c r="R251" s="27"/>
    </row>
    <row r="252">
      <c r="C252" s="9"/>
      <c r="D252" s="9"/>
      <c r="O252" s="9"/>
      <c r="P252" s="27"/>
      <c r="Q252" s="27"/>
      <c r="R252" s="27"/>
    </row>
    <row r="253">
      <c r="C253" s="9"/>
      <c r="D253" s="9"/>
      <c r="O253" s="9"/>
      <c r="P253" s="27"/>
      <c r="Q253" s="27"/>
      <c r="R253" s="27"/>
    </row>
    <row r="254">
      <c r="C254" s="9"/>
      <c r="D254" s="9"/>
      <c r="O254" s="9"/>
      <c r="P254" s="27"/>
      <c r="Q254" s="27"/>
      <c r="R254" s="27"/>
    </row>
    <row r="255">
      <c r="C255" s="9"/>
      <c r="D255" s="9"/>
      <c r="O255" s="9"/>
      <c r="P255" s="27"/>
      <c r="Q255" s="27"/>
      <c r="R255" s="27"/>
    </row>
    <row r="256">
      <c r="C256" s="9"/>
      <c r="D256" s="9"/>
      <c r="O256" s="9"/>
      <c r="P256" s="27"/>
      <c r="Q256" s="27"/>
      <c r="R256" s="27"/>
    </row>
    <row r="257">
      <c r="C257" s="9"/>
      <c r="D257" s="9"/>
      <c r="O257" s="9"/>
      <c r="P257" s="27"/>
      <c r="Q257" s="27"/>
      <c r="R257" s="27"/>
    </row>
    <row r="258">
      <c r="C258" s="9"/>
      <c r="D258" s="9"/>
      <c r="O258" s="9"/>
      <c r="P258" s="27"/>
      <c r="Q258" s="27"/>
      <c r="R258" s="27"/>
    </row>
    <row r="259">
      <c r="C259" s="9"/>
      <c r="D259" s="9"/>
      <c r="O259" s="9"/>
      <c r="P259" s="27"/>
      <c r="Q259" s="27"/>
      <c r="R259" s="27"/>
    </row>
    <row r="260">
      <c r="C260" s="9"/>
      <c r="D260" s="9"/>
      <c r="O260" s="9"/>
      <c r="P260" s="27"/>
      <c r="Q260" s="27"/>
      <c r="R260" s="27"/>
    </row>
    <row r="261">
      <c r="C261" s="9"/>
      <c r="D261" s="9"/>
      <c r="O261" s="9"/>
      <c r="P261" s="27"/>
      <c r="Q261" s="27"/>
      <c r="R261" s="27"/>
    </row>
    <row r="262">
      <c r="C262" s="9"/>
      <c r="D262" s="9"/>
      <c r="O262" s="9"/>
      <c r="P262" s="27"/>
      <c r="Q262" s="27"/>
      <c r="R262" s="27"/>
    </row>
    <row r="263">
      <c r="C263" s="9"/>
      <c r="D263" s="9"/>
      <c r="O263" s="9"/>
      <c r="P263" s="27"/>
      <c r="Q263" s="27"/>
      <c r="R263" s="27"/>
    </row>
    <row r="264">
      <c r="C264" s="9"/>
      <c r="D264" s="9"/>
      <c r="O264" s="9"/>
      <c r="P264" s="27"/>
      <c r="Q264" s="27"/>
      <c r="R264" s="27"/>
    </row>
    <row r="265">
      <c r="C265" s="9"/>
      <c r="D265" s="9"/>
      <c r="O265" s="9"/>
      <c r="P265" s="27"/>
      <c r="Q265" s="27"/>
      <c r="R265" s="27"/>
    </row>
    <row r="266">
      <c r="C266" s="9"/>
      <c r="D266" s="9"/>
      <c r="O266" s="9"/>
      <c r="P266" s="27"/>
      <c r="Q266" s="27"/>
      <c r="R266" s="27"/>
    </row>
    <row r="267">
      <c r="C267" s="9"/>
      <c r="D267" s="9"/>
      <c r="O267" s="9"/>
      <c r="P267" s="27"/>
      <c r="Q267" s="27"/>
      <c r="R267" s="27"/>
    </row>
    <row r="268">
      <c r="C268" s="9"/>
      <c r="D268" s="9"/>
      <c r="O268" s="9"/>
      <c r="P268" s="27"/>
      <c r="Q268" s="27"/>
      <c r="R268" s="27"/>
    </row>
    <row r="269">
      <c r="C269" s="9"/>
      <c r="D269" s="9"/>
      <c r="O269" s="9"/>
      <c r="P269" s="27"/>
      <c r="Q269" s="27"/>
      <c r="R269" s="27"/>
    </row>
    <row r="270">
      <c r="C270" s="9"/>
      <c r="D270" s="9"/>
      <c r="O270" s="9"/>
      <c r="P270" s="27"/>
      <c r="Q270" s="27"/>
      <c r="R270" s="27"/>
    </row>
    <row r="271">
      <c r="C271" s="9"/>
      <c r="D271" s="9"/>
      <c r="O271" s="9"/>
      <c r="P271" s="27"/>
      <c r="Q271" s="27"/>
      <c r="R271" s="27"/>
    </row>
    <row r="272">
      <c r="C272" s="9"/>
      <c r="D272" s="9"/>
      <c r="O272" s="9"/>
      <c r="P272" s="27"/>
      <c r="Q272" s="27"/>
      <c r="R272" s="27"/>
    </row>
    <row r="273">
      <c r="C273" s="9"/>
      <c r="D273" s="9"/>
      <c r="O273" s="9"/>
      <c r="P273" s="27"/>
      <c r="Q273" s="27"/>
      <c r="R273" s="27"/>
    </row>
    <row r="274">
      <c r="C274" s="9"/>
      <c r="D274" s="9"/>
      <c r="O274" s="9"/>
      <c r="P274" s="27"/>
      <c r="Q274" s="27"/>
      <c r="R274" s="27"/>
    </row>
    <row r="275">
      <c r="C275" s="9"/>
      <c r="D275" s="9"/>
      <c r="O275" s="9"/>
      <c r="P275" s="27"/>
      <c r="Q275" s="27"/>
      <c r="R275" s="27"/>
    </row>
    <row r="276">
      <c r="C276" s="9"/>
      <c r="D276" s="9"/>
      <c r="O276" s="9"/>
      <c r="P276" s="27"/>
      <c r="Q276" s="27"/>
      <c r="R276" s="27"/>
    </row>
    <row r="277">
      <c r="C277" s="9"/>
      <c r="D277" s="9"/>
      <c r="O277" s="9"/>
      <c r="P277" s="27"/>
      <c r="Q277" s="27"/>
      <c r="R277" s="27"/>
    </row>
    <row r="278">
      <c r="C278" s="9"/>
      <c r="D278" s="9"/>
      <c r="O278" s="9"/>
      <c r="P278" s="27"/>
      <c r="Q278" s="27"/>
      <c r="R278" s="27"/>
    </row>
    <row r="279">
      <c r="C279" s="9"/>
      <c r="D279" s="9"/>
      <c r="O279" s="9"/>
      <c r="P279" s="27"/>
      <c r="Q279" s="27"/>
      <c r="R279" s="27"/>
    </row>
    <row r="280">
      <c r="C280" s="9"/>
      <c r="D280" s="9"/>
      <c r="O280" s="9"/>
      <c r="P280" s="27"/>
      <c r="Q280" s="27"/>
      <c r="R280" s="27"/>
    </row>
    <row r="281">
      <c r="C281" s="9"/>
      <c r="D281" s="9"/>
      <c r="O281" s="9"/>
      <c r="P281" s="27"/>
      <c r="Q281" s="27"/>
      <c r="R281" s="27"/>
    </row>
    <row r="282">
      <c r="C282" s="9"/>
      <c r="D282" s="9"/>
      <c r="O282" s="9"/>
      <c r="P282" s="27"/>
      <c r="Q282" s="27"/>
      <c r="R282" s="27"/>
    </row>
    <row r="283">
      <c r="C283" s="9"/>
      <c r="D283" s="9"/>
      <c r="O283" s="9"/>
      <c r="P283" s="27"/>
      <c r="Q283" s="27"/>
      <c r="R283" s="27"/>
    </row>
    <row r="284">
      <c r="C284" s="9"/>
      <c r="D284" s="9"/>
      <c r="O284" s="9"/>
      <c r="P284" s="27"/>
      <c r="Q284" s="27"/>
      <c r="R284" s="27"/>
    </row>
    <row r="285">
      <c r="C285" s="9"/>
      <c r="D285" s="9"/>
      <c r="O285" s="9"/>
      <c r="P285" s="27"/>
      <c r="Q285" s="27"/>
      <c r="R285" s="27"/>
    </row>
    <row r="286">
      <c r="C286" s="9"/>
      <c r="D286" s="9"/>
      <c r="O286" s="9"/>
      <c r="P286" s="27"/>
      <c r="Q286" s="27"/>
      <c r="R286" s="27"/>
    </row>
    <row r="287">
      <c r="C287" s="9"/>
      <c r="D287" s="9"/>
      <c r="O287" s="9"/>
      <c r="P287" s="27"/>
      <c r="Q287" s="27"/>
      <c r="R287" s="27"/>
    </row>
    <row r="288">
      <c r="C288" s="9"/>
      <c r="D288" s="9"/>
      <c r="O288" s="9"/>
      <c r="P288" s="27"/>
      <c r="Q288" s="27"/>
      <c r="R288" s="27"/>
    </row>
    <row r="289">
      <c r="C289" s="9"/>
      <c r="D289" s="9"/>
      <c r="O289" s="9"/>
      <c r="P289" s="27"/>
      <c r="Q289" s="27"/>
      <c r="R289" s="27"/>
    </row>
    <row r="290">
      <c r="C290" s="9"/>
      <c r="D290" s="9"/>
      <c r="O290" s="9"/>
      <c r="P290" s="27"/>
      <c r="Q290" s="27"/>
      <c r="R290" s="27"/>
    </row>
    <row r="291">
      <c r="C291" s="9"/>
      <c r="D291" s="9"/>
      <c r="O291" s="9"/>
      <c r="P291" s="27"/>
      <c r="Q291" s="27"/>
      <c r="R291" s="27"/>
    </row>
    <row r="292">
      <c r="C292" s="9"/>
      <c r="D292" s="9"/>
      <c r="O292" s="9"/>
      <c r="P292" s="27"/>
      <c r="Q292" s="27"/>
      <c r="R292" s="27"/>
    </row>
    <row r="293">
      <c r="C293" s="9"/>
      <c r="D293" s="9"/>
      <c r="O293" s="9"/>
      <c r="P293" s="27"/>
      <c r="Q293" s="27"/>
      <c r="R293" s="27"/>
    </row>
    <row r="294">
      <c r="C294" s="9"/>
      <c r="D294" s="9"/>
      <c r="O294" s="9"/>
      <c r="P294" s="27"/>
      <c r="Q294" s="27"/>
      <c r="R294" s="27"/>
    </row>
    <row r="295">
      <c r="C295" s="9"/>
      <c r="D295" s="9"/>
      <c r="O295" s="9"/>
      <c r="P295" s="27"/>
      <c r="Q295" s="27"/>
      <c r="R295" s="27"/>
    </row>
    <row r="296">
      <c r="C296" s="9"/>
      <c r="D296" s="9"/>
      <c r="O296" s="9"/>
      <c r="P296" s="27"/>
      <c r="Q296" s="27"/>
      <c r="R296" s="27"/>
    </row>
    <row r="297">
      <c r="C297" s="9"/>
      <c r="D297" s="9"/>
      <c r="O297" s="9"/>
      <c r="P297" s="27"/>
      <c r="Q297" s="27"/>
      <c r="R297" s="27"/>
    </row>
    <row r="298">
      <c r="C298" s="9"/>
      <c r="D298" s="9"/>
      <c r="O298" s="9"/>
      <c r="P298" s="27"/>
      <c r="Q298" s="27"/>
      <c r="R298" s="27"/>
    </row>
    <row r="299">
      <c r="C299" s="9"/>
      <c r="D299" s="9"/>
      <c r="O299" s="9"/>
      <c r="P299" s="27"/>
      <c r="Q299" s="27"/>
      <c r="R299" s="27"/>
    </row>
    <row r="300">
      <c r="C300" s="9"/>
      <c r="D300" s="9"/>
      <c r="O300" s="9"/>
      <c r="P300" s="27"/>
      <c r="Q300" s="27"/>
      <c r="R300" s="27"/>
    </row>
    <row r="301">
      <c r="C301" s="9"/>
      <c r="D301" s="9"/>
      <c r="O301" s="9"/>
      <c r="P301" s="27"/>
      <c r="Q301" s="27"/>
      <c r="R301" s="27"/>
    </row>
    <row r="302">
      <c r="C302" s="9"/>
      <c r="D302" s="9"/>
      <c r="O302" s="9"/>
      <c r="P302" s="27"/>
      <c r="Q302" s="27"/>
      <c r="R302" s="27"/>
    </row>
    <row r="303">
      <c r="C303" s="9"/>
      <c r="D303" s="9"/>
      <c r="O303" s="9"/>
      <c r="P303" s="27"/>
      <c r="Q303" s="27"/>
      <c r="R303" s="27"/>
    </row>
    <row r="304">
      <c r="C304" s="9"/>
      <c r="D304" s="9"/>
      <c r="O304" s="9"/>
      <c r="P304" s="27"/>
      <c r="Q304" s="27"/>
      <c r="R304" s="27"/>
    </row>
    <row r="305">
      <c r="C305" s="9"/>
      <c r="D305" s="9"/>
      <c r="O305" s="9"/>
      <c r="P305" s="27"/>
      <c r="Q305" s="27"/>
      <c r="R305" s="27"/>
    </row>
    <row r="306">
      <c r="C306" s="9"/>
      <c r="D306" s="9"/>
      <c r="O306" s="9"/>
      <c r="P306" s="27"/>
      <c r="Q306" s="27"/>
      <c r="R306" s="27"/>
    </row>
    <row r="307">
      <c r="C307" s="9"/>
      <c r="D307" s="9"/>
      <c r="O307" s="9"/>
      <c r="P307" s="27"/>
      <c r="Q307" s="27"/>
      <c r="R307" s="27"/>
    </row>
    <row r="308">
      <c r="C308" s="9"/>
      <c r="D308" s="9"/>
      <c r="O308" s="9"/>
      <c r="P308" s="27"/>
      <c r="Q308" s="27"/>
      <c r="R308" s="27"/>
    </row>
    <row r="309">
      <c r="C309" s="9"/>
      <c r="D309" s="9"/>
      <c r="O309" s="9"/>
      <c r="P309" s="27"/>
      <c r="Q309" s="27"/>
      <c r="R309" s="27"/>
    </row>
    <row r="310">
      <c r="C310" s="9"/>
      <c r="D310" s="9"/>
      <c r="O310" s="9"/>
      <c r="P310" s="27"/>
      <c r="Q310" s="27"/>
      <c r="R310" s="27"/>
    </row>
    <row r="311">
      <c r="C311" s="9"/>
      <c r="D311" s="9"/>
      <c r="O311" s="9"/>
      <c r="P311" s="27"/>
      <c r="Q311" s="27"/>
      <c r="R311" s="27"/>
    </row>
    <row r="312">
      <c r="C312" s="9"/>
      <c r="D312" s="9"/>
      <c r="O312" s="9"/>
      <c r="P312" s="27"/>
      <c r="Q312" s="27"/>
      <c r="R312" s="27"/>
    </row>
    <row r="313">
      <c r="C313" s="9"/>
      <c r="D313" s="9"/>
      <c r="O313" s="9"/>
      <c r="P313" s="27"/>
      <c r="Q313" s="27"/>
      <c r="R313" s="27"/>
    </row>
    <row r="314">
      <c r="C314" s="9"/>
      <c r="D314" s="9"/>
      <c r="O314" s="9"/>
      <c r="P314" s="27"/>
      <c r="Q314" s="27"/>
      <c r="R314" s="27"/>
    </row>
    <row r="315">
      <c r="C315" s="9"/>
      <c r="D315" s="9"/>
      <c r="O315" s="9"/>
      <c r="P315" s="27"/>
      <c r="Q315" s="27"/>
      <c r="R315" s="27"/>
    </row>
    <row r="316">
      <c r="C316" s="9"/>
      <c r="D316" s="9"/>
      <c r="O316" s="9"/>
      <c r="P316" s="27"/>
      <c r="Q316" s="27"/>
      <c r="R316" s="27"/>
    </row>
    <row r="317">
      <c r="C317" s="9"/>
      <c r="D317" s="9"/>
      <c r="O317" s="9"/>
      <c r="P317" s="27"/>
      <c r="Q317" s="27"/>
      <c r="R317" s="27"/>
    </row>
    <row r="318">
      <c r="C318" s="9"/>
      <c r="D318" s="9"/>
      <c r="O318" s="9"/>
      <c r="P318" s="27"/>
      <c r="Q318" s="27"/>
      <c r="R318" s="27"/>
    </row>
    <row r="319">
      <c r="C319" s="9"/>
      <c r="D319" s="9"/>
      <c r="O319" s="9"/>
      <c r="P319" s="27"/>
      <c r="Q319" s="27"/>
      <c r="R319" s="27"/>
    </row>
    <row r="320">
      <c r="C320" s="9"/>
      <c r="D320" s="9"/>
      <c r="O320" s="9"/>
      <c r="P320" s="27"/>
      <c r="Q320" s="27"/>
      <c r="R320" s="27"/>
    </row>
    <row r="321">
      <c r="C321" s="9"/>
      <c r="D321" s="9"/>
      <c r="O321" s="9"/>
      <c r="P321" s="27"/>
      <c r="Q321" s="27"/>
      <c r="R321" s="27"/>
    </row>
    <row r="322">
      <c r="C322" s="9"/>
      <c r="D322" s="9"/>
      <c r="O322" s="9"/>
      <c r="P322" s="27"/>
      <c r="Q322" s="27"/>
      <c r="R322" s="27"/>
    </row>
    <row r="323">
      <c r="C323" s="9"/>
      <c r="D323" s="9"/>
      <c r="O323" s="9"/>
      <c r="P323" s="27"/>
      <c r="Q323" s="27"/>
      <c r="R323" s="27"/>
    </row>
    <row r="324">
      <c r="C324" s="9"/>
      <c r="D324" s="9"/>
      <c r="O324" s="9"/>
      <c r="P324" s="27"/>
      <c r="Q324" s="27"/>
      <c r="R324" s="27"/>
    </row>
    <row r="325">
      <c r="C325" s="9"/>
      <c r="D325" s="9"/>
      <c r="O325" s="9"/>
      <c r="P325" s="27"/>
      <c r="Q325" s="27"/>
      <c r="R325" s="27"/>
    </row>
    <row r="326">
      <c r="C326" s="9"/>
      <c r="D326" s="9"/>
      <c r="O326" s="9"/>
      <c r="P326" s="27"/>
      <c r="Q326" s="27"/>
      <c r="R326" s="27"/>
    </row>
    <row r="327">
      <c r="C327" s="9"/>
      <c r="D327" s="9"/>
      <c r="O327" s="9"/>
      <c r="P327" s="27"/>
      <c r="Q327" s="27"/>
      <c r="R327" s="27"/>
    </row>
    <row r="328">
      <c r="C328" s="9"/>
      <c r="D328" s="9"/>
      <c r="O328" s="9"/>
      <c r="P328" s="27"/>
      <c r="Q328" s="27"/>
      <c r="R328" s="27"/>
    </row>
    <row r="329">
      <c r="C329" s="9"/>
      <c r="D329" s="9"/>
      <c r="O329" s="9"/>
      <c r="P329" s="27"/>
      <c r="Q329" s="27"/>
      <c r="R329" s="27"/>
    </row>
    <row r="330">
      <c r="C330" s="9"/>
      <c r="D330" s="9"/>
      <c r="O330" s="9"/>
      <c r="P330" s="27"/>
      <c r="Q330" s="27"/>
      <c r="R330" s="27"/>
    </row>
    <row r="331">
      <c r="C331" s="9"/>
      <c r="D331" s="9"/>
      <c r="O331" s="9"/>
      <c r="P331" s="27"/>
      <c r="Q331" s="27"/>
      <c r="R331" s="27"/>
    </row>
    <row r="332">
      <c r="C332" s="9"/>
      <c r="D332" s="9"/>
      <c r="O332" s="9"/>
      <c r="P332" s="27"/>
      <c r="Q332" s="27"/>
      <c r="R332" s="27"/>
    </row>
    <row r="333">
      <c r="C333" s="9"/>
      <c r="D333" s="9"/>
      <c r="O333" s="9"/>
      <c r="P333" s="27"/>
      <c r="Q333" s="27"/>
      <c r="R333" s="27"/>
    </row>
    <row r="334">
      <c r="C334" s="9"/>
      <c r="D334" s="9"/>
      <c r="O334" s="9"/>
      <c r="P334" s="27"/>
      <c r="Q334" s="27"/>
      <c r="R334" s="27"/>
    </row>
    <row r="335">
      <c r="C335" s="9"/>
      <c r="D335" s="9"/>
      <c r="O335" s="9"/>
      <c r="P335" s="27"/>
      <c r="Q335" s="27"/>
      <c r="R335" s="27"/>
    </row>
    <row r="336">
      <c r="C336" s="9"/>
      <c r="D336" s="9"/>
      <c r="O336" s="9"/>
      <c r="P336" s="27"/>
      <c r="Q336" s="27"/>
      <c r="R336" s="27"/>
    </row>
    <row r="337">
      <c r="C337" s="9"/>
      <c r="D337" s="9"/>
      <c r="O337" s="9"/>
      <c r="P337" s="27"/>
      <c r="Q337" s="27"/>
      <c r="R337" s="27"/>
    </row>
    <row r="338">
      <c r="C338" s="9"/>
      <c r="D338" s="9"/>
      <c r="O338" s="9"/>
      <c r="P338" s="27"/>
      <c r="Q338" s="27"/>
      <c r="R338" s="27"/>
    </row>
    <row r="339">
      <c r="C339" s="9"/>
      <c r="D339" s="9"/>
      <c r="O339" s="9"/>
      <c r="P339" s="27"/>
      <c r="Q339" s="27"/>
      <c r="R339" s="27"/>
    </row>
    <row r="340">
      <c r="C340" s="9"/>
      <c r="D340" s="9"/>
      <c r="O340" s="9"/>
      <c r="P340" s="27"/>
      <c r="Q340" s="27"/>
      <c r="R340" s="27"/>
    </row>
    <row r="341">
      <c r="C341" s="9"/>
      <c r="D341" s="9"/>
      <c r="O341" s="9"/>
      <c r="P341" s="27"/>
      <c r="Q341" s="27"/>
      <c r="R341" s="27"/>
    </row>
    <row r="342">
      <c r="C342" s="9"/>
      <c r="D342" s="9"/>
      <c r="O342" s="9"/>
      <c r="P342" s="27"/>
      <c r="Q342" s="27"/>
      <c r="R342" s="27"/>
    </row>
    <row r="343">
      <c r="C343" s="9"/>
      <c r="D343" s="9"/>
      <c r="O343" s="9"/>
      <c r="P343" s="27"/>
      <c r="Q343" s="27"/>
      <c r="R343" s="27"/>
    </row>
    <row r="344">
      <c r="C344" s="9"/>
      <c r="D344" s="9"/>
      <c r="O344" s="9"/>
      <c r="P344" s="27"/>
      <c r="Q344" s="27"/>
      <c r="R344" s="27"/>
    </row>
    <row r="345">
      <c r="C345" s="9"/>
      <c r="D345" s="9"/>
      <c r="O345" s="9"/>
      <c r="P345" s="27"/>
      <c r="Q345" s="27"/>
      <c r="R345" s="27"/>
    </row>
    <row r="346">
      <c r="C346" s="9"/>
      <c r="D346" s="9"/>
      <c r="O346" s="9"/>
      <c r="P346" s="27"/>
      <c r="Q346" s="27"/>
      <c r="R346" s="27"/>
    </row>
    <row r="347">
      <c r="C347" s="9"/>
      <c r="D347" s="9"/>
      <c r="O347" s="9"/>
      <c r="P347" s="27"/>
      <c r="Q347" s="27"/>
      <c r="R347" s="27"/>
    </row>
    <row r="348">
      <c r="C348" s="9"/>
      <c r="D348" s="9"/>
      <c r="O348" s="9"/>
      <c r="P348" s="27"/>
      <c r="Q348" s="27"/>
      <c r="R348" s="27"/>
    </row>
    <row r="349">
      <c r="C349" s="9"/>
      <c r="D349" s="9"/>
      <c r="O349" s="9"/>
      <c r="P349" s="27"/>
      <c r="Q349" s="27"/>
      <c r="R349" s="27"/>
    </row>
    <row r="350">
      <c r="C350" s="9"/>
      <c r="D350" s="9"/>
      <c r="O350" s="9"/>
      <c r="P350" s="27"/>
      <c r="Q350" s="27"/>
      <c r="R350" s="27"/>
    </row>
    <row r="351">
      <c r="C351" s="9"/>
      <c r="D351" s="9"/>
      <c r="O351" s="9"/>
      <c r="P351" s="27"/>
      <c r="Q351" s="27"/>
      <c r="R351" s="27"/>
    </row>
    <row r="352">
      <c r="C352" s="9"/>
      <c r="D352" s="9"/>
      <c r="O352" s="9"/>
      <c r="P352" s="27"/>
      <c r="Q352" s="27"/>
      <c r="R352" s="27"/>
    </row>
    <row r="353">
      <c r="C353" s="9"/>
      <c r="D353" s="9"/>
      <c r="O353" s="9"/>
      <c r="P353" s="27"/>
      <c r="Q353" s="27"/>
      <c r="R353" s="27"/>
    </row>
    <row r="354">
      <c r="C354" s="9"/>
      <c r="D354" s="9"/>
      <c r="O354" s="9"/>
      <c r="P354" s="27"/>
      <c r="Q354" s="27"/>
      <c r="R354" s="27"/>
    </row>
    <row r="355">
      <c r="C355" s="9"/>
      <c r="D355" s="9"/>
      <c r="O355" s="9"/>
      <c r="P355" s="27"/>
      <c r="Q355" s="27"/>
      <c r="R355" s="27"/>
    </row>
    <row r="356">
      <c r="C356" s="9"/>
      <c r="D356" s="9"/>
      <c r="O356" s="9"/>
      <c r="P356" s="27"/>
      <c r="Q356" s="27"/>
      <c r="R356" s="27"/>
    </row>
    <row r="357">
      <c r="C357" s="9"/>
      <c r="D357" s="9"/>
      <c r="O357" s="9"/>
      <c r="P357" s="27"/>
      <c r="Q357" s="27"/>
      <c r="R357" s="27"/>
    </row>
    <row r="358">
      <c r="C358" s="9"/>
      <c r="D358" s="9"/>
      <c r="O358" s="9"/>
      <c r="P358" s="27"/>
      <c r="Q358" s="27"/>
      <c r="R358" s="27"/>
    </row>
    <row r="359">
      <c r="C359" s="9"/>
      <c r="D359" s="9"/>
      <c r="O359" s="9"/>
      <c r="P359" s="27"/>
      <c r="Q359" s="27"/>
      <c r="R359" s="27"/>
    </row>
    <row r="360">
      <c r="C360" s="9"/>
      <c r="D360" s="9"/>
      <c r="O360" s="9"/>
      <c r="P360" s="27"/>
      <c r="Q360" s="27"/>
      <c r="R360" s="27"/>
    </row>
    <row r="361">
      <c r="C361" s="9"/>
      <c r="D361" s="9"/>
      <c r="O361" s="9"/>
      <c r="P361" s="27"/>
      <c r="Q361" s="27"/>
      <c r="R361" s="27"/>
    </row>
    <row r="362">
      <c r="C362" s="9"/>
      <c r="D362" s="9"/>
      <c r="O362" s="9"/>
      <c r="P362" s="27"/>
      <c r="Q362" s="27"/>
      <c r="R362" s="27"/>
    </row>
    <row r="363">
      <c r="C363" s="9"/>
      <c r="D363" s="9"/>
      <c r="O363" s="9"/>
      <c r="P363" s="27"/>
      <c r="Q363" s="27"/>
      <c r="R363" s="27"/>
    </row>
    <row r="364">
      <c r="C364" s="9"/>
      <c r="D364" s="9"/>
      <c r="O364" s="9"/>
      <c r="P364" s="27"/>
      <c r="Q364" s="27"/>
      <c r="R364" s="27"/>
    </row>
    <row r="365">
      <c r="C365" s="9"/>
      <c r="D365" s="9"/>
      <c r="O365" s="9"/>
      <c r="P365" s="27"/>
      <c r="Q365" s="27"/>
      <c r="R365" s="27"/>
    </row>
    <row r="366">
      <c r="C366" s="9"/>
      <c r="D366" s="9"/>
      <c r="O366" s="9"/>
      <c r="P366" s="27"/>
      <c r="Q366" s="27"/>
      <c r="R366" s="27"/>
    </row>
    <row r="367">
      <c r="C367" s="9"/>
      <c r="D367" s="9"/>
      <c r="O367" s="9"/>
      <c r="P367" s="27"/>
      <c r="Q367" s="27"/>
      <c r="R367" s="27"/>
    </row>
    <row r="368">
      <c r="C368" s="9"/>
      <c r="D368" s="9"/>
      <c r="O368" s="9"/>
      <c r="P368" s="27"/>
      <c r="Q368" s="27"/>
      <c r="R368" s="27"/>
    </row>
    <row r="369">
      <c r="C369" s="9"/>
      <c r="D369" s="9"/>
      <c r="O369" s="9"/>
      <c r="P369" s="27"/>
      <c r="Q369" s="27"/>
      <c r="R369" s="27"/>
    </row>
    <row r="370">
      <c r="C370" s="9"/>
      <c r="D370" s="9"/>
      <c r="O370" s="9"/>
      <c r="P370" s="27"/>
      <c r="Q370" s="27"/>
      <c r="R370" s="27"/>
    </row>
    <row r="371">
      <c r="C371" s="9"/>
      <c r="D371" s="9"/>
      <c r="O371" s="9"/>
      <c r="P371" s="27"/>
      <c r="Q371" s="27"/>
      <c r="R371" s="27"/>
    </row>
    <row r="372">
      <c r="C372" s="9"/>
      <c r="D372" s="9"/>
      <c r="O372" s="9"/>
      <c r="P372" s="27"/>
      <c r="Q372" s="27"/>
      <c r="R372" s="27"/>
    </row>
    <row r="373">
      <c r="C373" s="9"/>
      <c r="D373" s="9"/>
      <c r="O373" s="9"/>
      <c r="P373" s="27"/>
      <c r="Q373" s="27"/>
      <c r="R373" s="27"/>
    </row>
    <row r="374">
      <c r="C374" s="9"/>
      <c r="D374" s="9"/>
      <c r="O374" s="9"/>
      <c r="P374" s="27"/>
      <c r="Q374" s="27"/>
      <c r="R374" s="27"/>
    </row>
    <row r="375">
      <c r="C375" s="9"/>
      <c r="D375" s="9"/>
      <c r="O375" s="9"/>
      <c r="P375" s="27"/>
      <c r="Q375" s="27"/>
      <c r="R375" s="27"/>
    </row>
    <row r="376">
      <c r="C376" s="9"/>
      <c r="D376" s="9"/>
      <c r="O376" s="9"/>
      <c r="P376" s="27"/>
      <c r="Q376" s="27"/>
      <c r="R376" s="27"/>
    </row>
    <row r="377">
      <c r="C377" s="9"/>
      <c r="D377" s="9"/>
      <c r="O377" s="9"/>
      <c r="P377" s="27"/>
      <c r="Q377" s="27"/>
      <c r="R377" s="27"/>
    </row>
    <row r="378">
      <c r="C378" s="9"/>
      <c r="D378" s="9"/>
      <c r="O378" s="9"/>
      <c r="P378" s="27"/>
      <c r="Q378" s="27"/>
      <c r="R378" s="27"/>
    </row>
    <row r="379">
      <c r="C379" s="9"/>
      <c r="D379" s="9"/>
      <c r="O379" s="9"/>
      <c r="P379" s="27"/>
      <c r="Q379" s="27"/>
      <c r="R379" s="27"/>
    </row>
    <row r="380">
      <c r="C380" s="9"/>
      <c r="D380" s="9"/>
      <c r="O380" s="9"/>
      <c r="P380" s="27"/>
      <c r="Q380" s="27"/>
      <c r="R380" s="27"/>
    </row>
    <row r="381">
      <c r="C381" s="9"/>
      <c r="D381" s="9"/>
      <c r="O381" s="9"/>
      <c r="P381" s="27"/>
      <c r="Q381" s="27"/>
      <c r="R381" s="27"/>
    </row>
    <row r="382">
      <c r="C382" s="9"/>
      <c r="D382" s="9"/>
      <c r="O382" s="9"/>
      <c r="P382" s="27"/>
      <c r="Q382" s="27"/>
      <c r="R382" s="27"/>
    </row>
    <row r="383">
      <c r="C383" s="9"/>
      <c r="D383" s="9"/>
      <c r="O383" s="9"/>
      <c r="P383" s="27"/>
      <c r="Q383" s="27"/>
      <c r="R383" s="27"/>
    </row>
    <row r="384">
      <c r="C384" s="9"/>
      <c r="D384" s="9"/>
      <c r="O384" s="9"/>
      <c r="P384" s="27"/>
      <c r="Q384" s="27"/>
      <c r="R384" s="27"/>
    </row>
    <row r="385">
      <c r="C385" s="9"/>
      <c r="D385" s="9"/>
      <c r="O385" s="9"/>
      <c r="P385" s="27"/>
      <c r="Q385" s="27"/>
      <c r="R385" s="27"/>
    </row>
    <row r="386">
      <c r="C386" s="9"/>
      <c r="D386" s="9"/>
      <c r="O386" s="9"/>
      <c r="P386" s="27"/>
      <c r="Q386" s="27"/>
      <c r="R386" s="27"/>
    </row>
    <row r="387">
      <c r="C387" s="9"/>
      <c r="D387" s="9"/>
      <c r="O387" s="9"/>
      <c r="P387" s="27"/>
      <c r="Q387" s="27"/>
      <c r="R387" s="27"/>
    </row>
    <row r="388">
      <c r="C388" s="9"/>
      <c r="D388" s="9"/>
      <c r="O388" s="9"/>
      <c r="P388" s="27"/>
      <c r="Q388" s="27"/>
      <c r="R388" s="27"/>
    </row>
    <row r="389">
      <c r="C389" s="9"/>
      <c r="D389" s="9"/>
      <c r="O389" s="9"/>
      <c r="P389" s="27"/>
      <c r="Q389" s="27"/>
      <c r="R389" s="27"/>
    </row>
    <row r="390">
      <c r="C390" s="9"/>
      <c r="D390" s="9"/>
      <c r="O390" s="9"/>
      <c r="P390" s="27"/>
      <c r="Q390" s="27"/>
      <c r="R390" s="27"/>
    </row>
    <row r="391">
      <c r="C391" s="9"/>
      <c r="D391" s="9"/>
      <c r="O391" s="9"/>
      <c r="P391" s="27"/>
      <c r="Q391" s="27"/>
      <c r="R391" s="27"/>
    </row>
    <row r="392">
      <c r="C392" s="9"/>
      <c r="D392" s="9"/>
      <c r="O392" s="9"/>
      <c r="P392" s="27"/>
      <c r="Q392" s="27"/>
      <c r="R392" s="27"/>
    </row>
    <row r="393">
      <c r="C393" s="9"/>
      <c r="D393" s="9"/>
      <c r="O393" s="9"/>
      <c r="P393" s="27"/>
      <c r="Q393" s="27"/>
      <c r="R393" s="27"/>
    </row>
    <row r="394">
      <c r="C394" s="9"/>
      <c r="D394" s="9"/>
      <c r="O394" s="9"/>
      <c r="P394" s="27"/>
      <c r="Q394" s="27"/>
      <c r="R394" s="27"/>
    </row>
    <row r="395">
      <c r="C395" s="9"/>
      <c r="D395" s="9"/>
      <c r="O395" s="9"/>
      <c r="P395" s="27"/>
      <c r="Q395" s="27"/>
      <c r="R395" s="27"/>
    </row>
    <row r="396">
      <c r="C396" s="9"/>
      <c r="D396" s="9"/>
      <c r="O396" s="9"/>
      <c r="P396" s="27"/>
      <c r="Q396" s="27"/>
      <c r="R396" s="27"/>
    </row>
    <row r="397">
      <c r="C397" s="9"/>
      <c r="D397" s="9"/>
      <c r="O397" s="9"/>
      <c r="P397" s="27"/>
      <c r="Q397" s="27"/>
      <c r="R397" s="27"/>
    </row>
    <row r="398">
      <c r="C398" s="9"/>
      <c r="D398" s="9"/>
      <c r="O398" s="9"/>
      <c r="P398" s="27"/>
      <c r="Q398" s="27"/>
      <c r="R398" s="27"/>
    </row>
    <row r="399">
      <c r="C399" s="9"/>
      <c r="D399" s="9"/>
      <c r="O399" s="9"/>
      <c r="P399" s="27"/>
      <c r="Q399" s="27"/>
      <c r="R399" s="27"/>
    </row>
    <row r="400">
      <c r="C400" s="9"/>
      <c r="D400" s="9"/>
      <c r="O400" s="9"/>
      <c r="P400" s="27"/>
      <c r="Q400" s="27"/>
      <c r="R400" s="27"/>
    </row>
    <row r="401">
      <c r="C401" s="9"/>
      <c r="D401" s="9"/>
      <c r="O401" s="9"/>
      <c r="P401" s="27"/>
      <c r="Q401" s="27"/>
      <c r="R401" s="27"/>
    </row>
    <row r="402">
      <c r="C402" s="9"/>
      <c r="D402" s="9"/>
      <c r="O402" s="9"/>
      <c r="P402" s="27"/>
      <c r="Q402" s="27"/>
      <c r="R402" s="27"/>
    </row>
    <row r="403">
      <c r="C403" s="9"/>
      <c r="D403" s="9"/>
      <c r="O403" s="9"/>
      <c r="P403" s="27"/>
      <c r="Q403" s="27"/>
      <c r="R403" s="27"/>
    </row>
    <row r="404">
      <c r="C404" s="9"/>
      <c r="D404" s="9"/>
      <c r="O404" s="9"/>
      <c r="P404" s="27"/>
      <c r="Q404" s="27"/>
      <c r="R404" s="27"/>
    </row>
    <row r="405">
      <c r="C405" s="9"/>
      <c r="D405" s="9"/>
      <c r="O405" s="9"/>
      <c r="P405" s="27"/>
      <c r="Q405" s="27"/>
      <c r="R405" s="27"/>
    </row>
    <row r="406">
      <c r="C406" s="9"/>
      <c r="D406" s="9"/>
      <c r="O406" s="9"/>
      <c r="P406" s="27"/>
      <c r="Q406" s="27"/>
      <c r="R406" s="27"/>
    </row>
    <row r="407">
      <c r="C407" s="9"/>
      <c r="D407" s="9"/>
      <c r="O407" s="9"/>
      <c r="P407" s="27"/>
      <c r="Q407" s="27"/>
      <c r="R407" s="27"/>
    </row>
    <row r="408">
      <c r="C408" s="9"/>
      <c r="D408" s="9"/>
      <c r="O408" s="9"/>
      <c r="P408" s="27"/>
      <c r="Q408" s="27"/>
      <c r="R408" s="27"/>
    </row>
    <row r="409">
      <c r="C409" s="9"/>
      <c r="D409" s="9"/>
      <c r="O409" s="9"/>
      <c r="P409" s="27"/>
      <c r="Q409" s="27"/>
      <c r="R409" s="27"/>
    </row>
    <row r="410">
      <c r="C410" s="9"/>
      <c r="D410" s="9"/>
      <c r="O410" s="9"/>
      <c r="P410" s="27"/>
      <c r="Q410" s="27"/>
      <c r="R410" s="27"/>
    </row>
    <row r="411">
      <c r="C411" s="9"/>
      <c r="D411" s="9"/>
      <c r="O411" s="9"/>
      <c r="P411" s="27"/>
      <c r="Q411" s="27"/>
      <c r="R411" s="27"/>
    </row>
    <row r="412">
      <c r="C412" s="9"/>
      <c r="D412" s="9"/>
      <c r="O412" s="9"/>
      <c r="P412" s="27"/>
      <c r="Q412" s="27"/>
      <c r="R412" s="27"/>
    </row>
    <row r="413">
      <c r="C413" s="9"/>
      <c r="D413" s="9"/>
      <c r="O413" s="9"/>
      <c r="P413" s="27"/>
      <c r="Q413" s="27"/>
      <c r="R413" s="27"/>
    </row>
    <row r="414">
      <c r="C414" s="9"/>
      <c r="D414" s="9"/>
      <c r="O414" s="9"/>
      <c r="P414" s="27"/>
      <c r="Q414" s="27"/>
      <c r="R414" s="27"/>
    </row>
    <row r="415">
      <c r="C415" s="9"/>
      <c r="D415" s="9"/>
      <c r="O415" s="9"/>
      <c r="P415" s="27"/>
      <c r="Q415" s="27"/>
      <c r="R415" s="27"/>
    </row>
    <row r="416">
      <c r="C416" s="9"/>
      <c r="D416" s="9"/>
      <c r="O416" s="9"/>
      <c r="P416" s="27"/>
      <c r="Q416" s="27"/>
      <c r="R416" s="27"/>
    </row>
    <row r="417">
      <c r="C417" s="9"/>
      <c r="D417" s="9"/>
      <c r="O417" s="9"/>
      <c r="P417" s="27"/>
      <c r="Q417" s="27"/>
      <c r="R417" s="27"/>
    </row>
    <row r="418">
      <c r="C418" s="9"/>
      <c r="D418" s="9"/>
      <c r="O418" s="9"/>
      <c r="P418" s="27"/>
      <c r="Q418" s="27"/>
      <c r="R418" s="27"/>
    </row>
    <row r="419">
      <c r="C419" s="9"/>
      <c r="D419" s="9"/>
      <c r="O419" s="9"/>
      <c r="P419" s="27"/>
      <c r="Q419" s="27"/>
      <c r="R419" s="27"/>
    </row>
    <row r="420">
      <c r="C420" s="9"/>
      <c r="D420" s="9"/>
      <c r="O420" s="9"/>
      <c r="P420" s="27"/>
      <c r="Q420" s="27"/>
      <c r="R420" s="27"/>
    </row>
    <row r="421">
      <c r="C421" s="9"/>
      <c r="D421" s="9"/>
      <c r="O421" s="9"/>
      <c r="P421" s="27"/>
      <c r="Q421" s="27"/>
      <c r="R421" s="27"/>
    </row>
    <row r="422">
      <c r="C422" s="9"/>
      <c r="D422" s="9"/>
      <c r="O422" s="9"/>
      <c r="P422" s="27"/>
      <c r="Q422" s="27"/>
      <c r="R422" s="27"/>
    </row>
    <row r="423">
      <c r="C423" s="9"/>
      <c r="D423" s="9"/>
      <c r="O423" s="9"/>
      <c r="P423" s="27"/>
      <c r="Q423" s="27"/>
      <c r="R423" s="27"/>
    </row>
    <row r="424">
      <c r="C424" s="9"/>
      <c r="D424" s="9"/>
      <c r="O424" s="9"/>
      <c r="P424" s="27"/>
      <c r="Q424" s="27"/>
      <c r="R424" s="27"/>
    </row>
    <row r="425">
      <c r="C425" s="9"/>
      <c r="D425" s="9"/>
      <c r="O425" s="9"/>
      <c r="P425" s="27"/>
      <c r="Q425" s="27"/>
      <c r="R425" s="27"/>
    </row>
    <row r="426">
      <c r="C426" s="9"/>
      <c r="D426" s="9"/>
      <c r="O426" s="9"/>
      <c r="P426" s="27"/>
      <c r="Q426" s="27"/>
      <c r="R426" s="27"/>
    </row>
    <row r="427">
      <c r="C427" s="9"/>
      <c r="D427" s="9"/>
      <c r="O427" s="9"/>
      <c r="P427" s="27"/>
      <c r="Q427" s="27"/>
      <c r="R427" s="27"/>
    </row>
    <row r="428">
      <c r="C428" s="9"/>
      <c r="D428" s="9"/>
      <c r="O428" s="9"/>
      <c r="P428" s="27"/>
      <c r="Q428" s="27"/>
      <c r="R428" s="27"/>
    </row>
    <row r="429">
      <c r="C429" s="9"/>
      <c r="D429" s="9"/>
      <c r="O429" s="9"/>
      <c r="P429" s="27"/>
      <c r="Q429" s="27"/>
      <c r="R429" s="27"/>
    </row>
    <row r="430">
      <c r="C430" s="9"/>
      <c r="D430" s="9"/>
      <c r="O430" s="9"/>
      <c r="P430" s="27"/>
      <c r="Q430" s="27"/>
      <c r="R430" s="27"/>
    </row>
    <row r="431">
      <c r="C431" s="9"/>
      <c r="D431" s="9"/>
      <c r="O431" s="9"/>
      <c r="P431" s="27"/>
      <c r="Q431" s="27"/>
      <c r="R431" s="27"/>
    </row>
    <row r="432">
      <c r="C432" s="9"/>
      <c r="D432" s="9"/>
      <c r="O432" s="9"/>
      <c r="P432" s="27"/>
      <c r="Q432" s="27"/>
      <c r="R432" s="27"/>
    </row>
    <row r="433">
      <c r="C433" s="9"/>
      <c r="D433" s="9"/>
      <c r="O433" s="9"/>
      <c r="P433" s="27"/>
      <c r="Q433" s="27"/>
      <c r="R433" s="27"/>
    </row>
    <row r="434">
      <c r="C434" s="9"/>
      <c r="D434" s="9"/>
      <c r="O434" s="9"/>
      <c r="P434" s="27"/>
      <c r="Q434" s="27"/>
      <c r="R434" s="27"/>
    </row>
    <row r="435">
      <c r="C435" s="9"/>
      <c r="D435" s="9"/>
      <c r="O435" s="9"/>
      <c r="P435" s="27"/>
      <c r="Q435" s="27"/>
      <c r="R435" s="27"/>
    </row>
    <row r="436">
      <c r="C436" s="9"/>
      <c r="D436" s="9"/>
      <c r="O436" s="9"/>
      <c r="P436" s="27"/>
      <c r="Q436" s="27"/>
      <c r="R436" s="27"/>
    </row>
    <row r="437">
      <c r="C437" s="9"/>
      <c r="D437" s="9"/>
      <c r="O437" s="9"/>
      <c r="P437" s="27"/>
      <c r="Q437" s="27"/>
      <c r="R437" s="27"/>
    </row>
    <row r="438">
      <c r="C438" s="9"/>
      <c r="D438" s="9"/>
      <c r="O438" s="9"/>
      <c r="P438" s="27"/>
      <c r="Q438" s="27"/>
      <c r="R438" s="27"/>
    </row>
    <row r="439">
      <c r="C439" s="9"/>
      <c r="D439" s="9"/>
      <c r="O439" s="9"/>
      <c r="P439" s="27"/>
      <c r="Q439" s="27"/>
      <c r="R439" s="27"/>
    </row>
    <row r="440">
      <c r="C440" s="9"/>
      <c r="D440" s="9"/>
      <c r="O440" s="9"/>
      <c r="P440" s="27"/>
      <c r="Q440" s="27"/>
      <c r="R440" s="27"/>
    </row>
    <row r="441">
      <c r="C441" s="9"/>
      <c r="D441" s="9"/>
      <c r="O441" s="9"/>
      <c r="P441" s="27"/>
      <c r="Q441" s="27"/>
      <c r="R441" s="27"/>
    </row>
    <row r="442">
      <c r="C442" s="9"/>
      <c r="D442" s="9"/>
      <c r="O442" s="9"/>
      <c r="P442" s="27"/>
      <c r="Q442" s="27"/>
      <c r="R442" s="27"/>
    </row>
    <row r="443">
      <c r="C443" s="9"/>
      <c r="D443" s="9"/>
      <c r="O443" s="9"/>
      <c r="P443" s="27"/>
      <c r="Q443" s="27"/>
      <c r="R443" s="27"/>
    </row>
    <row r="444">
      <c r="C444" s="9"/>
      <c r="D444" s="9"/>
      <c r="O444" s="9"/>
      <c r="P444" s="27"/>
      <c r="Q444" s="27"/>
      <c r="R444" s="27"/>
    </row>
    <row r="445">
      <c r="C445" s="9"/>
      <c r="D445" s="9"/>
      <c r="O445" s="9"/>
      <c r="P445" s="27"/>
      <c r="Q445" s="27"/>
      <c r="R445" s="27"/>
    </row>
    <row r="446">
      <c r="C446" s="9"/>
      <c r="D446" s="9"/>
      <c r="O446" s="9"/>
      <c r="P446" s="27"/>
      <c r="Q446" s="27"/>
      <c r="R446" s="27"/>
    </row>
    <row r="447">
      <c r="C447" s="9"/>
      <c r="D447" s="9"/>
      <c r="O447" s="9"/>
      <c r="P447" s="27"/>
      <c r="Q447" s="27"/>
      <c r="R447" s="27"/>
    </row>
    <row r="448">
      <c r="C448" s="9"/>
      <c r="D448" s="9"/>
      <c r="O448" s="9"/>
      <c r="P448" s="27"/>
      <c r="Q448" s="27"/>
      <c r="R448" s="27"/>
    </row>
    <row r="449">
      <c r="C449" s="9"/>
      <c r="D449" s="9"/>
      <c r="O449" s="9"/>
      <c r="P449" s="27"/>
      <c r="Q449" s="27"/>
      <c r="R449" s="27"/>
    </row>
    <row r="450">
      <c r="C450" s="9"/>
      <c r="D450" s="9"/>
      <c r="O450" s="9"/>
      <c r="P450" s="27"/>
      <c r="Q450" s="27"/>
      <c r="R450" s="27"/>
    </row>
    <row r="451">
      <c r="C451" s="9"/>
      <c r="D451" s="9"/>
      <c r="O451" s="9"/>
      <c r="P451" s="27"/>
      <c r="Q451" s="27"/>
      <c r="R451" s="27"/>
    </row>
    <row r="452">
      <c r="C452" s="9"/>
      <c r="D452" s="9"/>
      <c r="O452" s="9"/>
      <c r="P452" s="27"/>
      <c r="Q452" s="27"/>
      <c r="R452" s="27"/>
    </row>
    <row r="453">
      <c r="C453" s="9"/>
      <c r="D453" s="9"/>
      <c r="O453" s="9"/>
      <c r="P453" s="27"/>
      <c r="Q453" s="27"/>
      <c r="R453" s="27"/>
    </row>
    <row r="454">
      <c r="C454" s="9"/>
      <c r="D454" s="9"/>
      <c r="O454" s="9"/>
      <c r="P454" s="27"/>
      <c r="Q454" s="27"/>
      <c r="R454" s="27"/>
    </row>
    <row r="455">
      <c r="C455" s="9"/>
      <c r="D455" s="9"/>
      <c r="O455" s="9"/>
      <c r="P455" s="27"/>
      <c r="Q455" s="27"/>
      <c r="R455" s="27"/>
    </row>
    <row r="456">
      <c r="C456" s="9"/>
      <c r="D456" s="9"/>
      <c r="O456" s="9"/>
      <c r="P456" s="27"/>
      <c r="Q456" s="27"/>
      <c r="R456" s="27"/>
    </row>
    <row r="457">
      <c r="C457" s="9"/>
      <c r="D457" s="9"/>
      <c r="O457" s="9"/>
      <c r="P457" s="27"/>
      <c r="Q457" s="27"/>
      <c r="R457" s="27"/>
    </row>
    <row r="458">
      <c r="C458" s="9"/>
      <c r="D458" s="9"/>
      <c r="O458" s="9"/>
      <c r="P458" s="27"/>
      <c r="Q458" s="27"/>
      <c r="R458" s="27"/>
    </row>
    <row r="459">
      <c r="C459" s="9"/>
      <c r="D459" s="9"/>
      <c r="O459" s="9"/>
      <c r="P459" s="27"/>
      <c r="Q459" s="27"/>
      <c r="R459" s="27"/>
    </row>
    <row r="460">
      <c r="C460" s="9"/>
      <c r="D460" s="9"/>
      <c r="O460" s="9"/>
      <c r="P460" s="27"/>
      <c r="Q460" s="27"/>
      <c r="R460" s="27"/>
    </row>
    <row r="461">
      <c r="C461" s="9"/>
      <c r="D461" s="9"/>
      <c r="O461" s="9"/>
      <c r="P461" s="27"/>
      <c r="Q461" s="27"/>
      <c r="R461" s="27"/>
    </row>
    <row r="462">
      <c r="C462" s="9"/>
      <c r="D462" s="9"/>
      <c r="O462" s="9"/>
      <c r="P462" s="27"/>
      <c r="Q462" s="27"/>
      <c r="R462" s="27"/>
    </row>
    <row r="463">
      <c r="C463" s="9"/>
      <c r="D463" s="9"/>
      <c r="O463" s="9"/>
      <c r="P463" s="27"/>
      <c r="Q463" s="27"/>
      <c r="R463" s="27"/>
    </row>
    <row r="464">
      <c r="C464" s="9"/>
      <c r="D464" s="9"/>
      <c r="O464" s="9"/>
      <c r="P464" s="27"/>
      <c r="Q464" s="27"/>
      <c r="R464" s="27"/>
    </row>
    <row r="465">
      <c r="C465" s="9"/>
      <c r="D465" s="9"/>
      <c r="O465" s="9"/>
      <c r="P465" s="27"/>
      <c r="Q465" s="27"/>
      <c r="R465" s="27"/>
    </row>
    <row r="466">
      <c r="C466" s="9"/>
      <c r="D466" s="9"/>
      <c r="O466" s="9"/>
      <c r="P466" s="27"/>
      <c r="Q466" s="27"/>
      <c r="R466" s="27"/>
    </row>
    <row r="467">
      <c r="C467" s="9"/>
      <c r="D467" s="9"/>
      <c r="O467" s="9"/>
      <c r="P467" s="27"/>
      <c r="Q467" s="27"/>
      <c r="R467" s="27"/>
    </row>
    <row r="468">
      <c r="C468" s="9"/>
      <c r="D468" s="9"/>
      <c r="O468" s="9"/>
      <c r="P468" s="27"/>
      <c r="Q468" s="27"/>
      <c r="R468" s="27"/>
    </row>
    <row r="469">
      <c r="C469" s="9"/>
      <c r="D469" s="9"/>
      <c r="O469" s="9"/>
      <c r="P469" s="27"/>
      <c r="Q469" s="27"/>
      <c r="R469" s="27"/>
    </row>
    <row r="470">
      <c r="C470" s="9"/>
      <c r="D470" s="9"/>
      <c r="O470" s="9"/>
      <c r="P470" s="27"/>
      <c r="Q470" s="27"/>
      <c r="R470" s="27"/>
    </row>
    <row r="471">
      <c r="C471" s="9"/>
      <c r="D471" s="9"/>
      <c r="O471" s="9"/>
      <c r="P471" s="27"/>
      <c r="Q471" s="27"/>
      <c r="R471" s="27"/>
    </row>
    <row r="472">
      <c r="C472" s="9"/>
      <c r="D472" s="9"/>
      <c r="O472" s="9"/>
      <c r="P472" s="27"/>
      <c r="Q472" s="27"/>
      <c r="R472" s="27"/>
    </row>
    <row r="473">
      <c r="C473" s="9"/>
      <c r="D473" s="9"/>
      <c r="O473" s="9"/>
      <c r="P473" s="27"/>
      <c r="Q473" s="27"/>
      <c r="R473" s="27"/>
    </row>
    <row r="474">
      <c r="C474" s="9"/>
      <c r="D474" s="9"/>
      <c r="O474" s="9"/>
      <c r="P474" s="27"/>
      <c r="Q474" s="27"/>
      <c r="R474" s="27"/>
    </row>
    <row r="475">
      <c r="C475" s="9"/>
      <c r="D475" s="9"/>
      <c r="O475" s="9"/>
      <c r="P475" s="27"/>
      <c r="Q475" s="27"/>
      <c r="R475" s="27"/>
    </row>
    <row r="476">
      <c r="C476" s="9"/>
      <c r="D476" s="9"/>
      <c r="O476" s="9"/>
      <c r="P476" s="27"/>
      <c r="Q476" s="27"/>
      <c r="R476" s="27"/>
    </row>
    <row r="477">
      <c r="C477" s="9"/>
      <c r="D477" s="9"/>
      <c r="O477" s="9"/>
      <c r="P477" s="27"/>
      <c r="Q477" s="27"/>
      <c r="R477" s="27"/>
    </row>
    <row r="478">
      <c r="C478" s="9"/>
      <c r="D478" s="9"/>
      <c r="O478" s="9"/>
      <c r="P478" s="27"/>
      <c r="Q478" s="27"/>
      <c r="R478" s="27"/>
    </row>
    <row r="479">
      <c r="C479" s="9"/>
      <c r="D479" s="9"/>
      <c r="O479" s="9"/>
      <c r="P479" s="27"/>
      <c r="Q479" s="27"/>
      <c r="R479" s="27"/>
    </row>
    <row r="480">
      <c r="C480" s="9"/>
      <c r="D480" s="9"/>
      <c r="O480" s="9"/>
      <c r="P480" s="27"/>
      <c r="Q480" s="27"/>
      <c r="R480" s="27"/>
    </row>
    <row r="481">
      <c r="C481" s="9"/>
      <c r="D481" s="9"/>
      <c r="O481" s="9"/>
      <c r="P481" s="27"/>
      <c r="Q481" s="27"/>
      <c r="R481" s="27"/>
    </row>
    <row r="482">
      <c r="C482" s="9"/>
      <c r="D482" s="9"/>
      <c r="O482" s="9"/>
      <c r="P482" s="27"/>
      <c r="Q482" s="27"/>
      <c r="R482" s="27"/>
    </row>
    <row r="483">
      <c r="C483" s="9"/>
      <c r="D483" s="9"/>
      <c r="O483" s="9"/>
      <c r="P483" s="27"/>
      <c r="Q483" s="27"/>
      <c r="R483" s="27"/>
    </row>
    <row r="484">
      <c r="C484" s="9"/>
      <c r="D484" s="9"/>
      <c r="O484" s="9"/>
      <c r="P484" s="27"/>
      <c r="Q484" s="27"/>
      <c r="R484" s="27"/>
    </row>
    <row r="485">
      <c r="C485" s="9"/>
      <c r="D485" s="9"/>
      <c r="O485" s="9"/>
      <c r="P485" s="27"/>
      <c r="Q485" s="27"/>
      <c r="R485" s="27"/>
    </row>
    <row r="486">
      <c r="C486" s="9"/>
      <c r="D486" s="9"/>
      <c r="O486" s="9"/>
      <c r="P486" s="27"/>
      <c r="Q486" s="27"/>
      <c r="R486" s="27"/>
    </row>
    <row r="487">
      <c r="C487" s="9"/>
      <c r="D487" s="9"/>
      <c r="O487" s="9"/>
      <c r="P487" s="27"/>
      <c r="Q487" s="27"/>
      <c r="R487" s="27"/>
    </row>
    <row r="488">
      <c r="C488" s="9"/>
      <c r="D488" s="9"/>
      <c r="O488" s="9"/>
      <c r="P488" s="27"/>
      <c r="Q488" s="27"/>
      <c r="R488" s="27"/>
    </row>
    <row r="489">
      <c r="C489" s="9"/>
      <c r="D489" s="9"/>
      <c r="O489" s="9"/>
      <c r="P489" s="27"/>
      <c r="Q489" s="27"/>
      <c r="R489" s="27"/>
    </row>
    <row r="490">
      <c r="C490" s="9"/>
      <c r="D490" s="9"/>
      <c r="O490" s="9"/>
      <c r="P490" s="27"/>
      <c r="Q490" s="27"/>
      <c r="R490" s="27"/>
    </row>
    <row r="491">
      <c r="C491" s="9"/>
      <c r="D491" s="9"/>
      <c r="O491" s="9"/>
      <c r="P491" s="27"/>
      <c r="Q491" s="27"/>
      <c r="R491" s="27"/>
    </row>
    <row r="492">
      <c r="C492" s="9"/>
      <c r="D492" s="9"/>
      <c r="O492" s="9"/>
      <c r="P492" s="27"/>
      <c r="Q492" s="27"/>
      <c r="R492" s="27"/>
    </row>
    <row r="493">
      <c r="C493" s="9"/>
      <c r="D493" s="9"/>
      <c r="O493" s="9"/>
      <c r="P493" s="27"/>
      <c r="Q493" s="27"/>
      <c r="R493" s="27"/>
    </row>
    <row r="494">
      <c r="C494" s="9"/>
      <c r="D494" s="9"/>
      <c r="O494" s="9"/>
      <c r="P494" s="27"/>
      <c r="Q494" s="27"/>
      <c r="R494" s="27"/>
    </row>
    <row r="495">
      <c r="C495" s="9"/>
      <c r="D495" s="9"/>
      <c r="O495" s="9"/>
      <c r="P495" s="27"/>
      <c r="Q495" s="27"/>
      <c r="R495" s="27"/>
    </row>
    <row r="496">
      <c r="C496" s="9"/>
      <c r="D496" s="9"/>
      <c r="O496" s="9"/>
      <c r="P496" s="27"/>
      <c r="Q496" s="27"/>
      <c r="R496" s="27"/>
    </row>
    <row r="497">
      <c r="C497" s="9"/>
      <c r="D497" s="9"/>
      <c r="O497" s="9"/>
      <c r="P497" s="27"/>
      <c r="Q497" s="27"/>
      <c r="R497" s="27"/>
    </row>
    <row r="498">
      <c r="C498" s="9"/>
      <c r="D498" s="9"/>
      <c r="O498" s="9"/>
      <c r="P498" s="27"/>
      <c r="Q498" s="27"/>
      <c r="R498" s="27"/>
    </row>
    <row r="499">
      <c r="C499" s="9"/>
      <c r="D499" s="9"/>
      <c r="O499" s="9"/>
      <c r="P499" s="27"/>
      <c r="Q499" s="27"/>
      <c r="R499" s="27"/>
    </row>
    <row r="500">
      <c r="C500" s="9"/>
      <c r="D500" s="9"/>
      <c r="O500" s="9"/>
      <c r="P500" s="27"/>
      <c r="Q500" s="27"/>
      <c r="R500" s="27"/>
    </row>
    <row r="501">
      <c r="C501" s="9"/>
      <c r="D501" s="9"/>
      <c r="O501" s="9"/>
      <c r="P501" s="27"/>
      <c r="Q501" s="27"/>
      <c r="R501" s="27"/>
    </row>
    <row r="502">
      <c r="C502" s="9"/>
      <c r="D502" s="9"/>
      <c r="O502" s="9"/>
      <c r="P502" s="27"/>
      <c r="Q502" s="27"/>
      <c r="R502" s="27"/>
    </row>
    <row r="503">
      <c r="C503" s="9"/>
      <c r="D503" s="9"/>
      <c r="O503" s="9"/>
      <c r="P503" s="27"/>
      <c r="Q503" s="27"/>
      <c r="R503" s="27"/>
    </row>
    <row r="504">
      <c r="C504" s="9"/>
      <c r="D504" s="9"/>
      <c r="O504" s="9"/>
      <c r="P504" s="27"/>
      <c r="Q504" s="27"/>
      <c r="R504" s="27"/>
    </row>
    <row r="505">
      <c r="C505" s="9"/>
      <c r="D505" s="9"/>
      <c r="O505" s="9"/>
      <c r="P505" s="27"/>
      <c r="Q505" s="27"/>
      <c r="R505" s="27"/>
    </row>
    <row r="506">
      <c r="C506" s="9"/>
      <c r="D506" s="9"/>
      <c r="O506" s="9"/>
      <c r="P506" s="27"/>
      <c r="Q506" s="27"/>
      <c r="R506" s="27"/>
    </row>
    <row r="507">
      <c r="C507" s="9"/>
      <c r="D507" s="9"/>
      <c r="O507" s="9"/>
      <c r="P507" s="27"/>
      <c r="Q507" s="27"/>
      <c r="R507" s="27"/>
    </row>
    <row r="508">
      <c r="C508" s="9"/>
      <c r="D508" s="9"/>
      <c r="O508" s="9"/>
      <c r="P508" s="27"/>
      <c r="Q508" s="27"/>
      <c r="R508" s="27"/>
    </row>
    <row r="509">
      <c r="C509" s="9"/>
      <c r="D509" s="9"/>
      <c r="O509" s="9"/>
      <c r="P509" s="27"/>
      <c r="Q509" s="27"/>
      <c r="R509" s="27"/>
    </row>
    <row r="510">
      <c r="C510" s="9"/>
      <c r="D510" s="9"/>
      <c r="O510" s="9"/>
      <c r="P510" s="27"/>
      <c r="Q510" s="27"/>
      <c r="R510" s="27"/>
    </row>
    <row r="511">
      <c r="C511" s="9"/>
      <c r="D511" s="9"/>
      <c r="O511" s="9"/>
      <c r="P511" s="27"/>
      <c r="Q511" s="27"/>
      <c r="R511" s="27"/>
    </row>
    <row r="512">
      <c r="C512" s="9"/>
      <c r="D512" s="9"/>
      <c r="O512" s="9"/>
      <c r="P512" s="27"/>
      <c r="Q512" s="27"/>
      <c r="R512" s="27"/>
    </row>
    <row r="513">
      <c r="C513" s="9"/>
      <c r="D513" s="9"/>
      <c r="O513" s="9"/>
      <c r="P513" s="27"/>
      <c r="Q513" s="27"/>
      <c r="R513" s="27"/>
    </row>
    <row r="514">
      <c r="C514" s="9"/>
      <c r="D514" s="9"/>
      <c r="O514" s="9"/>
      <c r="P514" s="27"/>
      <c r="Q514" s="27"/>
      <c r="R514" s="27"/>
    </row>
    <row r="515">
      <c r="C515" s="9"/>
      <c r="D515" s="9"/>
      <c r="O515" s="9"/>
      <c r="P515" s="27"/>
      <c r="Q515" s="27"/>
      <c r="R515" s="27"/>
    </row>
    <row r="516">
      <c r="C516" s="9"/>
      <c r="D516" s="9"/>
      <c r="O516" s="9"/>
      <c r="P516" s="27"/>
      <c r="Q516" s="27"/>
      <c r="R516" s="27"/>
    </row>
    <row r="517">
      <c r="C517" s="9"/>
      <c r="D517" s="9"/>
      <c r="O517" s="9"/>
      <c r="P517" s="27"/>
      <c r="Q517" s="27"/>
      <c r="R517" s="27"/>
    </row>
    <row r="518">
      <c r="C518" s="9"/>
      <c r="D518" s="9"/>
      <c r="O518" s="9"/>
      <c r="P518" s="27"/>
      <c r="Q518" s="27"/>
      <c r="R518" s="27"/>
    </row>
    <row r="519">
      <c r="C519" s="9"/>
      <c r="D519" s="9"/>
      <c r="O519" s="9"/>
      <c r="P519" s="27"/>
      <c r="Q519" s="27"/>
      <c r="R519" s="27"/>
    </row>
    <row r="520">
      <c r="C520" s="9"/>
      <c r="D520" s="9"/>
      <c r="O520" s="9"/>
      <c r="P520" s="27"/>
      <c r="Q520" s="27"/>
      <c r="R520" s="27"/>
    </row>
    <row r="521">
      <c r="C521" s="9"/>
      <c r="D521" s="9"/>
      <c r="O521" s="9"/>
      <c r="P521" s="27"/>
      <c r="Q521" s="27"/>
      <c r="R521" s="27"/>
    </row>
    <row r="522">
      <c r="C522" s="9"/>
      <c r="D522" s="9"/>
      <c r="O522" s="9"/>
      <c r="P522" s="27"/>
      <c r="Q522" s="27"/>
      <c r="R522" s="27"/>
    </row>
    <row r="523">
      <c r="C523" s="9"/>
      <c r="D523" s="9"/>
      <c r="O523" s="9"/>
      <c r="P523" s="27"/>
      <c r="Q523" s="27"/>
      <c r="R523" s="27"/>
    </row>
    <row r="524">
      <c r="C524" s="9"/>
      <c r="D524" s="9"/>
      <c r="O524" s="9"/>
      <c r="P524" s="27"/>
      <c r="Q524" s="27"/>
      <c r="R524" s="27"/>
    </row>
    <row r="525">
      <c r="C525" s="9"/>
      <c r="D525" s="9"/>
      <c r="O525" s="9"/>
      <c r="P525" s="27"/>
      <c r="Q525" s="27"/>
      <c r="R525" s="27"/>
    </row>
    <row r="526">
      <c r="C526" s="9"/>
      <c r="D526" s="9"/>
      <c r="O526" s="9"/>
      <c r="P526" s="27"/>
      <c r="Q526" s="27"/>
      <c r="R526" s="27"/>
    </row>
    <row r="527">
      <c r="C527" s="9"/>
      <c r="D527" s="9"/>
      <c r="O527" s="9"/>
      <c r="P527" s="27"/>
      <c r="Q527" s="27"/>
      <c r="R527" s="27"/>
    </row>
    <row r="528">
      <c r="C528" s="9"/>
      <c r="D528" s="9"/>
      <c r="O528" s="9"/>
      <c r="P528" s="27"/>
      <c r="Q528" s="27"/>
      <c r="R528" s="27"/>
    </row>
    <row r="529">
      <c r="C529" s="9"/>
      <c r="D529" s="9"/>
      <c r="O529" s="9"/>
      <c r="P529" s="27"/>
      <c r="Q529" s="27"/>
      <c r="R529" s="27"/>
    </row>
    <row r="530">
      <c r="C530" s="9"/>
      <c r="D530" s="9"/>
      <c r="O530" s="9"/>
      <c r="P530" s="27"/>
      <c r="Q530" s="27"/>
      <c r="R530" s="27"/>
    </row>
    <row r="531">
      <c r="C531" s="9"/>
      <c r="D531" s="9"/>
      <c r="O531" s="9"/>
      <c r="P531" s="27"/>
      <c r="Q531" s="27"/>
      <c r="R531" s="27"/>
    </row>
    <row r="532">
      <c r="C532" s="9"/>
      <c r="D532" s="9"/>
      <c r="O532" s="9"/>
      <c r="P532" s="27"/>
      <c r="Q532" s="27"/>
      <c r="R532" s="27"/>
    </row>
    <row r="533">
      <c r="C533" s="9"/>
      <c r="D533" s="9"/>
      <c r="O533" s="9"/>
      <c r="P533" s="27"/>
      <c r="Q533" s="27"/>
      <c r="R533" s="27"/>
    </row>
    <row r="534">
      <c r="C534" s="9"/>
      <c r="D534" s="9"/>
      <c r="O534" s="9"/>
      <c r="P534" s="27"/>
      <c r="Q534" s="27"/>
      <c r="R534" s="27"/>
    </row>
    <row r="535">
      <c r="C535" s="9"/>
      <c r="D535" s="9"/>
      <c r="O535" s="9"/>
      <c r="P535" s="27"/>
      <c r="Q535" s="27"/>
      <c r="R535" s="27"/>
    </row>
    <row r="536">
      <c r="C536" s="9"/>
      <c r="D536" s="9"/>
      <c r="O536" s="9"/>
      <c r="P536" s="27"/>
      <c r="Q536" s="27"/>
      <c r="R536" s="27"/>
    </row>
    <row r="537">
      <c r="C537" s="9"/>
      <c r="D537" s="9"/>
      <c r="O537" s="9"/>
      <c r="P537" s="27"/>
      <c r="Q537" s="27"/>
      <c r="R537" s="27"/>
    </row>
    <row r="538">
      <c r="C538" s="9"/>
      <c r="D538" s="9"/>
      <c r="O538" s="9"/>
      <c r="P538" s="27"/>
      <c r="Q538" s="27"/>
      <c r="R538" s="27"/>
    </row>
    <row r="539">
      <c r="C539" s="9"/>
      <c r="D539" s="9"/>
      <c r="O539" s="9"/>
      <c r="P539" s="27"/>
      <c r="Q539" s="27"/>
      <c r="R539" s="27"/>
    </row>
    <row r="540">
      <c r="C540" s="9"/>
      <c r="D540" s="9"/>
      <c r="O540" s="9"/>
      <c r="P540" s="27"/>
      <c r="Q540" s="27"/>
      <c r="R540" s="27"/>
    </row>
    <row r="541">
      <c r="C541" s="9"/>
      <c r="D541" s="9"/>
      <c r="O541" s="9"/>
      <c r="P541" s="27"/>
      <c r="Q541" s="27"/>
      <c r="R541" s="27"/>
    </row>
    <row r="542">
      <c r="C542" s="9"/>
      <c r="D542" s="9"/>
      <c r="O542" s="9"/>
      <c r="P542" s="27"/>
      <c r="Q542" s="27"/>
      <c r="R542" s="27"/>
    </row>
    <row r="543">
      <c r="C543" s="9"/>
      <c r="D543" s="9"/>
      <c r="O543" s="9"/>
      <c r="P543" s="27"/>
      <c r="Q543" s="27"/>
      <c r="R543" s="27"/>
    </row>
    <row r="544">
      <c r="C544" s="9"/>
      <c r="D544" s="9"/>
      <c r="O544" s="9"/>
      <c r="P544" s="27"/>
      <c r="Q544" s="27"/>
      <c r="R544" s="27"/>
    </row>
    <row r="545">
      <c r="C545" s="9"/>
      <c r="D545" s="9"/>
      <c r="O545" s="9"/>
      <c r="P545" s="27"/>
      <c r="Q545" s="27"/>
      <c r="R545" s="27"/>
    </row>
    <row r="546">
      <c r="C546" s="9"/>
      <c r="D546" s="9"/>
      <c r="O546" s="9"/>
      <c r="P546" s="27"/>
      <c r="Q546" s="27"/>
      <c r="R546" s="27"/>
    </row>
    <row r="547">
      <c r="C547" s="9"/>
      <c r="D547" s="9"/>
      <c r="O547" s="9"/>
      <c r="P547" s="27"/>
      <c r="Q547" s="27"/>
      <c r="R547" s="27"/>
    </row>
    <row r="548">
      <c r="C548" s="9"/>
      <c r="D548" s="9"/>
      <c r="O548" s="9"/>
      <c r="P548" s="27"/>
      <c r="Q548" s="27"/>
      <c r="R548" s="27"/>
    </row>
    <row r="549">
      <c r="C549" s="9"/>
      <c r="D549" s="9"/>
      <c r="O549" s="9"/>
      <c r="P549" s="27"/>
      <c r="Q549" s="27"/>
      <c r="R549" s="27"/>
    </row>
    <row r="550">
      <c r="C550" s="9"/>
      <c r="D550" s="9"/>
      <c r="O550" s="9"/>
      <c r="P550" s="27"/>
      <c r="Q550" s="27"/>
      <c r="R550" s="27"/>
    </row>
    <row r="551">
      <c r="C551" s="9"/>
      <c r="D551" s="9"/>
      <c r="O551" s="9"/>
      <c r="P551" s="27"/>
      <c r="Q551" s="27"/>
      <c r="R551" s="27"/>
    </row>
    <row r="552">
      <c r="C552" s="9"/>
      <c r="D552" s="9"/>
      <c r="O552" s="9"/>
      <c r="P552" s="27"/>
      <c r="Q552" s="27"/>
      <c r="R552" s="27"/>
    </row>
    <row r="553">
      <c r="C553" s="9"/>
      <c r="D553" s="9"/>
      <c r="O553" s="9"/>
      <c r="P553" s="27"/>
      <c r="Q553" s="27"/>
      <c r="R553" s="27"/>
    </row>
    <row r="554">
      <c r="C554" s="9"/>
      <c r="D554" s="9"/>
      <c r="O554" s="9"/>
      <c r="P554" s="27"/>
      <c r="Q554" s="27"/>
      <c r="R554" s="27"/>
    </row>
    <row r="555">
      <c r="C555" s="9"/>
      <c r="D555" s="9"/>
      <c r="O555" s="9"/>
      <c r="P555" s="27"/>
      <c r="Q555" s="27"/>
      <c r="R555" s="27"/>
    </row>
    <row r="556">
      <c r="C556" s="9"/>
      <c r="D556" s="9"/>
      <c r="O556" s="9"/>
      <c r="P556" s="27"/>
      <c r="Q556" s="27"/>
      <c r="R556" s="27"/>
    </row>
    <row r="557">
      <c r="C557" s="9"/>
      <c r="D557" s="9"/>
      <c r="O557" s="9"/>
      <c r="P557" s="27"/>
      <c r="Q557" s="27"/>
      <c r="R557" s="27"/>
    </row>
    <row r="558">
      <c r="C558" s="9"/>
      <c r="D558" s="9"/>
      <c r="O558" s="9"/>
      <c r="P558" s="27"/>
      <c r="Q558" s="27"/>
      <c r="R558" s="27"/>
    </row>
    <row r="559">
      <c r="C559" s="9"/>
      <c r="D559" s="9"/>
      <c r="O559" s="9"/>
      <c r="P559" s="27"/>
      <c r="Q559" s="27"/>
      <c r="R559" s="27"/>
    </row>
    <row r="560">
      <c r="C560" s="9"/>
      <c r="D560" s="9"/>
      <c r="O560" s="9"/>
      <c r="P560" s="27"/>
      <c r="Q560" s="27"/>
      <c r="R560" s="27"/>
    </row>
    <row r="561">
      <c r="C561" s="9"/>
      <c r="D561" s="9"/>
      <c r="O561" s="9"/>
      <c r="P561" s="27"/>
      <c r="Q561" s="27"/>
      <c r="R561" s="27"/>
    </row>
    <row r="562">
      <c r="C562" s="9"/>
      <c r="D562" s="9"/>
      <c r="O562" s="9"/>
      <c r="P562" s="27"/>
      <c r="Q562" s="27"/>
      <c r="R562" s="27"/>
    </row>
    <row r="563">
      <c r="C563" s="9"/>
      <c r="D563" s="9"/>
      <c r="O563" s="9"/>
      <c r="P563" s="27"/>
      <c r="Q563" s="27"/>
      <c r="R563" s="27"/>
    </row>
    <row r="564">
      <c r="C564" s="9"/>
      <c r="D564" s="9"/>
      <c r="O564" s="9"/>
      <c r="P564" s="27"/>
      <c r="Q564" s="27"/>
      <c r="R564" s="27"/>
    </row>
    <row r="565">
      <c r="C565" s="9"/>
      <c r="D565" s="9"/>
      <c r="O565" s="9"/>
      <c r="P565" s="27"/>
      <c r="Q565" s="27"/>
      <c r="R565" s="27"/>
    </row>
    <row r="566">
      <c r="C566" s="9"/>
      <c r="D566" s="9"/>
      <c r="O566" s="9"/>
      <c r="P566" s="27"/>
      <c r="Q566" s="27"/>
      <c r="R566" s="27"/>
    </row>
    <row r="567">
      <c r="C567" s="9"/>
      <c r="D567" s="9"/>
      <c r="O567" s="9"/>
      <c r="P567" s="27"/>
      <c r="Q567" s="27"/>
      <c r="R567" s="27"/>
    </row>
    <row r="568">
      <c r="C568" s="9"/>
      <c r="D568" s="9"/>
      <c r="O568" s="9"/>
      <c r="P568" s="27"/>
      <c r="Q568" s="27"/>
      <c r="R568" s="27"/>
    </row>
    <row r="569">
      <c r="C569" s="9"/>
      <c r="D569" s="9"/>
      <c r="O569" s="9"/>
      <c r="P569" s="27"/>
      <c r="Q569" s="27"/>
      <c r="R569" s="27"/>
    </row>
    <row r="570">
      <c r="C570" s="9"/>
      <c r="D570" s="9"/>
      <c r="O570" s="9"/>
      <c r="P570" s="27"/>
      <c r="Q570" s="27"/>
      <c r="R570" s="27"/>
    </row>
    <row r="571">
      <c r="C571" s="9"/>
      <c r="D571" s="9"/>
      <c r="O571" s="9"/>
      <c r="P571" s="27"/>
      <c r="Q571" s="27"/>
      <c r="R571" s="27"/>
    </row>
    <row r="572">
      <c r="C572" s="9"/>
      <c r="D572" s="9"/>
      <c r="O572" s="9"/>
      <c r="P572" s="27"/>
      <c r="Q572" s="27"/>
      <c r="R572" s="27"/>
    </row>
    <row r="573">
      <c r="C573" s="9"/>
      <c r="D573" s="9"/>
      <c r="O573" s="9"/>
      <c r="P573" s="27"/>
      <c r="Q573" s="27"/>
      <c r="R573" s="27"/>
    </row>
    <row r="574">
      <c r="C574" s="9"/>
      <c r="D574" s="9"/>
      <c r="O574" s="9"/>
      <c r="P574" s="27"/>
      <c r="Q574" s="27"/>
      <c r="R574" s="27"/>
    </row>
    <row r="575">
      <c r="C575" s="9"/>
      <c r="D575" s="9"/>
      <c r="O575" s="9"/>
      <c r="P575" s="27"/>
      <c r="Q575" s="27"/>
      <c r="R575" s="27"/>
    </row>
    <row r="576">
      <c r="C576" s="9"/>
      <c r="D576" s="9"/>
      <c r="O576" s="9"/>
      <c r="P576" s="27"/>
      <c r="Q576" s="27"/>
      <c r="R576" s="27"/>
    </row>
    <row r="577">
      <c r="C577" s="9"/>
      <c r="D577" s="9"/>
      <c r="O577" s="9"/>
      <c r="P577" s="27"/>
      <c r="Q577" s="27"/>
      <c r="R577" s="27"/>
    </row>
    <row r="578">
      <c r="C578" s="9"/>
      <c r="D578" s="9"/>
      <c r="O578" s="9"/>
      <c r="P578" s="27"/>
      <c r="Q578" s="27"/>
      <c r="R578" s="27"/>
    </row>
    <row r="579">
      <c r="C579" s="9"/>
      <c r="D579" s="9"/>
      <c r="O579" s="9"/>
      <c r="P579" s="27"/>
      <c r="Q579" s="27"/>
      <c r="R579" s="27"/>
    </row>
    <row r="580">
      <c r="C580" s="9"/>
      <c r="D580" s="9"/>
      <c r="O580" s="9"/>
      <c r="P580" s="27"/>
      <c r="Q580" s="27"/>
      <c r="R580" s="27"/>
    </row>
    <row r="581">
      <c r="C581" s="9"/>
      <c r="D581" s="9"/>
      <c r="O581" s="9"/>
      <c r="P581" s="27"/>
      <c r="Q581" s="27"/>
      <c r="R581" s="27"/>
    </row>
    <row r="582">
      <c r="C582" s="9"/>
      <c r="D582" s="9"/>
      <c r="O582" s="9"/>
      <c r="P582" s="27"/>
      <c r="Q582" s="27"/>
      <c r="R582" s="27"/>
    </row>
    <row r="583">
      <c r="C583" s="9"/>
      <c r="D583" s="9"/>
      <c r="O583" s="9"/>
      <c r="P583" s="27"/>
      <c r="Q583" s="27"/>
      <c r="R583" s="27"/>
    </row>
    <row r="584">
      <c r="C584" s="9"/>
      <c r="D584" s="9"/>
      <c r="O584" s="9"/>
      <c r="P584" s="27"/>
      <c r="Q584" s="27"/>
      <c r="R584" s="27"/>
    </row>
    <row r="585">
      <c r="C585" s="9"/>
      <c r="D585" s="9"/>
      <c r="O585" s="9"/>
      <c r="P585" s="27"/>
      <c r="Q585" s="27"/>
      <c r="R585" s="27"/>
    </row>
    <row r="586">
      <c r="C586" s="9"/>
      <c r="D586" s="9"/>
      <c r="O586" s="9"/>
      <c r="P586" s="27"/>
      <c r="Q586" s="27"/>
      <c r="R586" s="27"/>
    </row>
    <row r="587">
      <c r="C587" s="9"/>
      <c r="D587" s="9"/>
      <c r="O587" s="9"/>
      <c r="P587" s="27"/>
      <c r="Q587" s="27"/>
      <c r="R587" s="27"/>
    </row>
    <row r="588">
      <c r="C588" s="9"/>
      <c r="D588" s="9"/>
      <c r="O588" s="9"/>
      <c r="P588" s="27"/>
      <c r="Q588" s="27"/>
      <c r="R588" s="27"/>
    </row>
    <row r="589">
      <c r="C589" s="9"/>
      <c r="D589" s="9"/>
      <c r="O589" s="9"/>
      <c r="P589" s="27"/>
      <c r="Q589" s="27"/>
      <c r="R589" s="27"/>
    </row>
    <row r="590">
      <c r="C590" s="9"/>
      <c r="D590" s="9"/>
      <c r="O590" s="9"/>
      <c r="P590" s="27"/>
      <c r="Q590" s="27"/>
      <c r="R590" s="27"/>
    </row>
    <row r="591">
      <c r="C591" s="9"/>
      <c r="D591" s="9"/>
      <c r="O591" s="9"/>
      <c r="P591" s="27"/>
      <c r="Q591" s="27"/>
      <c r="R591" s="27"/>
    </row>
    <row r="592">
      <c r="C592" s="9"/>
      <c r="D592" s="9"/>
      <c r="O592" s="9"/>
      <c r="P592" s="27"/>
      <c r="Q592" s="27"/>
      <c r="R592" s="27"/>
    </row>
    <row r="593">
      <c r="C593" s="9"/>
      <c r="D593" s="9"/>
      <c r="O593" s="9"/>
      <c r="P593" s="27"/>
      <c r="Q593" s="27"/>
      <c r="R593" s="27"/>
    </row>
    <row r="594">
      <c r="C594" s="9"/>
      <c r="D594" s="9"/>
      <c r="O594" s="9"/>
      <c r="P594" s="27"/>
      <c r="Q594" s="27"/>
      <c r="R594" s="27"/>
    </row>
    <row r="595">
      <c r="C595" s="9"/>
      <c r="D595" s="9"/>
      <c r="O595" s="9"/>
      <c r="P595" s="27"/>
      <c r="Q595" s="27"/>
      <c r="R595" s="27"/>
    </row>
    <row r="596">
      <c r="C596" s="9"/>
      <c r="D596" s="9"/>
      <c r="O596" s="9"/>
      <c r="P596" s="27"/>
      <c r="Q596" s="27"/>
      <c r="R596" s="27"/>
    </row>
    <row r="597">
      <c r="C597" s="9"/>
      <c r="D597" s="9"/>
      <c r="O597" s="9"/>
      <c r="P597" s="27"/>
      <c r="Q597" s="27"/>
      <c r="R597" s="27"/>
    </row>
    <row r="598">
      <c r="C598" s="9"/>
      <c r="D598" s="9"/>
      <c r="O598" s="9"/>
      <c r="P598" s="27"/>
      <c r="Q598" s="27"/>
      <c r="R598" s="27"/>
    </row>
    <row r="599">
      <c r="C599" s="9"/>
      <c r="D599" s="9"/>
      <c r="O599" s="9"/>
      <c r="P599" s="27"/>
      <c r="Q599" s="27"/>
      <c r="R599" s="27"/>
    </row>
    <row r="600">
      <c r="C600" s="9"/>
      <c r="D600" s="9"/>
      <c r="O600" s="9"/>
      <c r="P600" s="27"/>
      <c r="Q600" s="27"/>
      <c r="R600" s="27"/>
    </row>
    <row r="601">
      <c r="C601" s="9"/>
      <c r="D601" s="9"/>
      <c r="O601" s="9"/>
      <c r="P601" s="27"/>
      <c r="Q601" s="27"/>
      <c r="R601" s="27"/>
    </row>
    <row r="602">
      <c r="C602" s="9"/>
      <c r="D602" s="9"/>
      <c r="O602" s="9"/>
      <c r="P602" s="27"/>
      <c r="Q602" s="27"/>
      <c r="R602" s="27"/>
    </row>
    <row r="603">
      <c r="C603" s="9"/>
      <c r="D603" s="9"/>
      <c r="O603" s="9"/>
      <c r="P603" s="27"/>
      <c r="Q603" s="27"/>
      <c r="R603" s="27"/>
    </row>
    <row r="604">
      <c r="C604" s="9"/>
      <c r="D604" s="9"/>
      <c r="O604" s="9"/>
      <c r="P604" s="27"/>
      <c r="Q604" s="27"/>
      <c r="R604" s="27"/>
    </row>
    <row r="605">
      <c r="C605" s="9"/>
      <c r="D605" s="9"/>
      <c r="O605" s="9"/>
      <c r="P605" s="27"/>
      <c r="Q605" s="27"/>
      <c r="R605" s="27"/>
    </row>
    <row r="606">
      <c r="C606" s="9"/>
      <c r="D606" s="9"/>
      <c r="O606" s="9"/>
      <c r="P606" s="27"/>
      <c r="Q606" s="27"/>
      <c r="R606" s="27"/>
    </row>
    <row r="607">
      <c r="C607" s="9"/>
      <c r="D607" s="9"/>
      <c r="O607" s="9"/>
      <c r="P607" s="27"/>
      <c r="Q607" s="27"/>
      <c r="R607" s="27"/>
    </row>
    <row r="608">
      <c r="C608" s="9"/>
      <c r="D608" s="9"/>
      <c r="O608" s="9"/>
      <c r="P608" s="27"/>
      <c r="Q608" s="27"/>
      <c r="R608" s="27"/>
    </row>
    <row r="609">
      <c r="C609" s="9"/>
      <c r="D609" s="9"/>
      <c r="O609" s="9"/>
      <c r="P609" s="27"/>
      <c r="Q609" s="27"/>
      <c r="R609" s="27"/>
    </row>
    <row r="610">
      <c r="C610" s="9"/>
      <c r="D610" s="9"/>
      <c r="O610" s="9"/>
      <c r="P610" s="27"/>
      <c r="Q610" s="27"/>
      <c r="R610" s="27"/>
    </row>
    <row r="611">
      <c r="C611" s="9"/>
      <c r="D611" s="9"/>
      <c r="O611" s="9"/>
      <c r="P611" s="27"/>
      <c r="Q611" s="27"/>
      <c r="R611" s="27"/>
    </row>
    <row r="612">
      <c r="C612" s="9"/>
      <c r="D612" s="9"/>
      <c r="O612" s="9"/>
      <c r="P612" s="27"/>
      <c r="Q612" s="27"/>
      <c r="R612" s="27"/>
    </row>
    <row r="613">
      <c r="C613" s="9"/>
      <c r="D613" s="9"/>
      <c r="O613" s="9"/>
      <c r="P613" s="27"/>
      <c r="Q613" s="27"/>
      <c r="R613" s="27"/>
    </row>
    <row r="614">
      <c r="C614" s="9"/>
      <c r="D614" s="9"/>
      <c r="O614" s="9"/>
      <c r="P614" s="27"/>
      <c r="Q614" s="27"/>
      <c r="R614" s="27"/>
    </row>
    <row r="615">
      <c r="C615" s="9"/>
      <c r="D615" s="9"/>
      <c r="O615" s="9"/>
      <c r="P615" s="27"/>
      <c r="Q615" s="27"/>
      <c r="R615" s="27"/>
    </row>
    <row r="616">
      <c r="C616" s="9"/>
      <c r="D616" s="9"/>
      <c r="O616" s="9"/>
      <c r="P616" s="27"/>
      <c r="Q616" s="27"/>
      <c r="R616" s="27"/>
    </row>
    <row r="617">
      <c r="C617" s="9"/>
      <c r="D617" s="9"/>
      <c r="O617" s="9"/>
      <c r="P617" s="27"/>
      <c r="Q617" s="27"/>
      <c r="R617" s="27"/>
    </row>
    <row r="618">
      <c r="C618" s="9"/>
      <c r="D618" s="9"/>
      <c r="O618" s="9"/>
      <c r="P618" s="27"/>
      <c r="Q618" s="27"/>
      <c r="R618" s="27"/>
    </row>
    <row r="619">
      <c r="C619" s="9"/>
      <c r="D619" s="9"/>
      <c r="O619" s="9"/>
      <c r="P619" s="27"/>
      <c r="Q619" s="27"/>
      <c r="R619" s="27"/>
    </row>
    <row r="620">
      <c r="C620" s="9"/>
      <c r="D620" s="9"/>
      <c r="O620" s="9"/>
      <c r="P620" s="27"/>
      <c r="Q620" s="27"/>
      <c r="R620" s="27"/>
    </row>
    <row r="621">
      <c r="C621" s="9"/>
      <c r="D621" s="9"/>
      <c r="O621" s="9"/>
      <c r="P621" s="27"/>
      <c r="Q621" s="27"/>
      <c r="R621" s="27"/>
    </row>
    <row r="622">
      <c r="C622" s="9"/>
      <c r="D622" s="9"/>
      <c r="O622" s="9"/>
      <c r="P622" s="27"/>
      <c r="Q622" s="27"/>
      <c r="R622" s="27"/>
    </row>
    <row r="623">
      <c r="C623" s="9"/>
      <c r="D623" s="9"/>
      <c r="O623" s="9"/>
      <c r="P623" s="27"/>
      <c r="Q623" s="27"/>
      <c r="R623" s="27"/>
    </row>
    <row r="624">
      <c r="C624" s="9"/>
      <c r="D624" s="9"/>
      <c r="O624" s="9"/>
      <c r="P624" s="27"/>
      <c r="Q624" s="27"/>
      <c r="R624" s="27"/>
    </row>
    <row r="625">
      <c r="C625" s="9"/>
      <c r="D625" s="9"/>
      <c r="O625" s="9"/>
      <c r="P625" s="27"/>
      <c r="Q625" s="27"/>
      <c r="R625" s="27"/>
    </row>
    <row r="626">
      <c r="C626" s="9"/>
      <c r="D626" s="9"/>
      <c r="O626" s="9"/>
      <c r="P626" s="27"/>
      <c r="Q626" s="27"/>
      <c r="R626" s="27"/>
    </row>
    <row r="627">
      <c r="C627" s="9"/>
      <c r="D627" s="9"/>
      <c r="O627" s="9"/>
      <c r="P627" s="27"/>
      <c r="Q627" s="27"/>
      <c r="R627" s="27"/>
    </row>
    <row r="628">
      <c r="C628" s="9"/>
      <c r="D628" s="9"/>
      <c r="O628" s="9"/>
      <c r="P628" s="27"/>
      <c r="Q628" s="27"/>
      <c r="R628" s="27"/>
    </row>
    <row r="629">
      <c r="C629" s="9"/>
      <c r="D629" s="9"/>
      <c r="O629" s="9"/>
      <c r="P629" s="27"/>
      <c r="Q629" s="27"/>
      <c r="R629" s="27"/>
    </row>
    <row r="630">
      <c r="C630" s="9"/>
      <c r="D630" s="9"/>
      <c r="O630" s="9"/>
      <c r="P630" s="27"/>
      <c r="Q630" s="27"/>
      <c r="R630" s="27"/>
    </row>
    <row r="631">
      <c r="C631" s="9"/>
      <c r="D631" s="9"/>
      <c r="O631" s="9"/>
      <c r="P631" s="27"/>
      <c r="Q631" s="27"/>
      <c r="R631" s="27"/>
    </row>
    <row r="632">
      <c r="C632" s="9"/>
      <c r="D632" s="9"/>
      <c r="O632" s="9"/>
      <c r="P632" s="27"/>
      <c r="Q632" s="27"/>
      <c r="R632" s="27"/>
    </row>
    <row r="633">
      <c r="C633" s="9"/>
      <c r="D633" s="9"/>
      <c r="O633" s="9"/>
      <c r="P633" s="27"/>
      <c r="Q633" s="27"/>
      <c r="R633" s="27"/>
    </row>
    <row r="634">
      <c r="C634" s="9"/>
      <c r="D634" s="9"/>
      <c r="O634" s="9"/>
      <c r="P634" s="27"/>
      <c r="Q634" s="27"/>
      <c r="R634" s="27"/>
    </row>
    <row r="635">
      <c r="C635" s="9"/>
      <c r="D635" s="9"/>
      <c r="O635" s="9"/>
      <c r="P635" s="27"/>
      <c r="Q635" s="27"/>
      <c r="R635" s="27"/>
    </row>
    <row r="636">
      <c r="C636" s="9"/>
      <c r="D636" s="9"/>
      <c r="O636" s="9"/>
      <c r="P636" s="27"/>
      <c r="Q636" s="27"/>
      <c r="R636" s="27"/>
    </row>
    <row r="637">
      <c r="C637" s="9"/>
      <c r="D637" s="9"/>
      <c r="O637" s="9"/>
      <c r="P637" s="27"/>
      <c r="Q637" s="27"/>
      <c r="R637" s="27"/>
    </row>
    <row r="638">
      <c r="C638" s="9"/>
      <c r="D638" s="9"/>
      <c r="O638" s="9"/>
      <c r="P638" s="27"/>
      <c r="Q638" s="27"/>
      <c r="R638" s="27"/>
    </row>
    <row r="639">
      <c r="C639" s="9"/>
      <c r="D639" s="9"/>
      <c r="O639" s="9"/>
      <c r="P639" s="27"/>
      <c r="Q639" s="27"/>
      <c r="R639" s="27"/>
    </row>
    <row r="640">
      <c r="C640" s="9"/>
      <c r="D640" s="9"/>
      <c r="O640" s="9"/>
      <c r="P640" s="27"/>
      <c r="Q640" s="27"/>
      <c r="R640" s="27"/>
    </row>
    <row r="641">
      <c r="C641" s="9"/>
      <c r="D641" s="9"/>
      <c r="O641" s="9"/>
      <c r="P641" s="27"/>
      <c r="Q641" s="27"/>
      <c r="R641" s="27"/>
    </row>
    <row r="642">
      <c r="C642" s="9"/>
      <c r="D642" s="9"/>
      <c r="O642" s="9"/>
      <c r="P642" s="27"/>
      <c r="Q642" s="27"/>
      <c r="R642" s="27"/>
    </row>
    <row r="643">
      <c r="C643" s="9"/>
      <c r="D643" s="9"/>
      <c r="O643" s="9"/>
      <c r="P643" s="27"/>
      <c r="Q643" s="27"/>
      <c r="R643" s="27"/>
    </row>
    <row r="644">
      <c r="C644" s="9"/>
      <c r="D644" s="9"/>
      <c r="O644" s="9"/>
      <c r="P644" s="27"/>
      <c r="Q644" s="27"/>
      <c r="R644" s="27"/>
    </row>
    <row r="645">
      <c r="C645" s="9"/>
      <c r="D645" s="9"/>
      <c r="O645" s="9"/>
      <c r="P645" s="27"/>
      <c r="Q645" s="27"/>
      <c r="R645" s="27"/>
    </row>
    <row r="646">
      <c r="C646" s="9"/>
      <c r="D646" s="9"/>
      <c r="O646" s="9"/>
      <c r="P646" s="27"/>
      <c r="Q646" s="27"/>
      <c r="R646" s="27"/>
    </row>
    <row r="647">
      <c r="C647" s="9"/>
      <c r="D647" s="9"/>
      <c r="O647" s="9"/>
      <c r="P647" s="27"/>
      <c r="Q647" s="27"/>
      <c r="R647" s="27"/>
    </row>
    <row r="648">
      <c r="C648" s="9"/>
      <c r="D648" s="9"/>
      <c r="O648" s="9"/>
      <c r="P648" s="27"/>
      <c r="Q648" s="27"/>
      <c r="R648" s="27"/>
    </row>
    <row r="649">
      <c r="C649" s="9"/>
      <c r="D649" s="9"/>
      <c r="O649" s="9"/>
      <c r="P649" s="27"/>
      <c r="Q649" s="27"/>
      <c r="R649" s="27"/>
    </row>
    <row r="650">
      <c r="C650" s="9"/>
      <c r="D650" s="9"/>
      <c r="O650" s="9"/>
      <c r="P650" s="27"/>
      <c r="Q650" s="27"/>
      <c r="R650" s="27"/>
    </row>
    <row r="651">
      <c r="C651" s="9"/>
      <c r="D651" s="9"/>
      <c r="O651" s="9"/>
      <c r="P651" s="27"/>
      <c r="Q651" s="27"/>
      <c r="R651" s="27"/>
    </row>
    <row r="652">
      <c r="C652" s="9"/>
      <c r="D652" s="9"/>
      <c r="O652" s="9"/>
      <c r="P652" s="27"/>
      <c r="Q652" s="27"/>
      <c r="R652" s="27"/>
    </row>
    <row r="653">
      <c r="C653" s="9"/>
      <c r="D653" s="9"/>
      <c r="O653" s="9"/>
      <c r="P653" s="27"/>
      <c r="Q653" s="27"/>
      <c r="R653" s="27"/>
    </row>
    <row r="654">
      <c r="C654" s="9"/>
      <c r="D654" s="9"/>
      <c r="O654" s="9"/>
      <c r="P654" s="27"/>
      <c r="Q654" s="27"/>
      <c r="R654" s="27"/>
    </row>
    <row r="655">
      <c r="C655" s="9"/>
      <c r="D655" s="9"/>
      <c r="O655" s="9"/>
      <c r="P655" s="27"/>
      <c r="Q655" s="27"/>
      <c r="R655" s="27"/>
    </row>
    <row r="656">
      <c r="C656" s="9"/>
      <c r="D656" s="9"/>
      <c r="O656" s="9"/>
      <c r="P656" s="27"/>
      <c r="Q656" s="27"/>
      <c r="R656" s="27"/>
    </row>
    <row r="657">
      <c r="C657" s="9"/>
      <c r="D657" s="9"/>
      <c r="O657" s="9"/>
      <c r="P657" s="27"/>
      <c r="Q657" s="27"/>
      <c r="R657" s="27"/>
    </row>
    <row r="658">
      <c r="C658" s="9"/>
      <c r="D658" s="9"/>
      <c r="O658" s="9"/>
      <c r="P658" s="27"/>
      <c r="Q658" s="27"/>
      <c r="R658" s="27"/>
    </row>
    <row r="659">
      <c r="C659" s="9"/>
      <c r="D659" s="9"/>
      <c r="O659" s="9"/>
      <c r="P659" s="27"/>
      <c r="Q659" s="27"/>
      <c r="R659" s="27"/>
    </row>
    <row r="660">
      <c r="C660" s="9"/>
      <c r="D660" s="9"/>
      <c r="O660" s="9"/>
      <c r="P660" s="27"/>
      <c r="Q660" s="27"/>
      <c r="R660" s="27"/>
    </row>
    <row r="661">
      <c r="C661" s="9"/>
      <c r="D661" s="9"/>
      <c r="O661" s="9"/>
      <c r="P661" s="27"/>
      <c r="Q661" s="27"/>
      <c r="R661" s="27"/>
    </row>
    <row r="662">
      <c r="C662" s="9"/>
      <c r="D662" s="9"/>
      <c r="O662" s="9"/>
      <c r="P662" s="27"/>
      <c r="Q662" s="27"/>
      <c r="R662" s="27"/>
    </row>
    <row r="663">
      <c r="C663" s="9"/>
      <c r="D663" s="9"/>
      <c r="O663" s="9"/>
      <c r="P663" s="27"/>
      <c r="Q663" s="27"/>
      <c r="R663" s="27"/>
    </row>
    <row r="664">
      <c r="C664" s="9"/>
      <c r="D664" s="9"/>
      <c r="O664" s="9"/>
      <c r="P664" s="27"/>
      <c r="Q664" s="27"/>
      <c r="R664" s="27"/>
    </row>
    <row r="665">
      <c r="C665" s="9"/>
      <c r="D665" s="9"/>
      <c r="O665" s="9"/>
      <c r="P665" s="27"/>
      <c r="Q665" s="27"/>
      <c r="R665" s="27"/>
    </row>
    <row r="666">
      <c r="C666" s="9"/>
      <c r="D666" s="9"/>
      <c r="O666" s="9"/>
      <c r="P666" s="27"/>
      <c r="Q666" s="27"/>
      <c r="R666" s="27"/>
    </row>
    <row r="667">
      <c r="C667" s="9"/>
      <c r="D667" s="9"/>
      <c r="O667" s="9"/>
      <c r="P667" s="27"/>
      <c r="Q667" s="27"/>
      <c r="R667" s="27"/>
    </row>
    <row r="668">
      <c r="C668" s="9"/>
      <c r="D668" s="9"/>
      <c r="O668" s="9"/>
      <c r="P668" s="27"/>
      <c r="Q668" s="27"/>
      <c r="R668" s="27"/>
    </row>
    <row r="669">
      <c r="C669" s="9"/>
      <c r="D669" s="9"/>
      <c r="O669" s="9"/>
      <c r="P669" s="27"/>
      <c r="Q669" s="27"/>
      <c r="R669" s="27"/>
    </row>
    <row r="670">
      <c r="C670" s="9"/>
      <c r="D670" s="9"/>
      <c r="O670" s="9"/>
      <c r="P670" s="27"/>
      <c r="Q670" s="27"/>
      <c r="R670" s="27"/>
    </row>
    <row r="671">
      <c r="C671" s="9"/>
      <c r="D671" s="9"/>
      <c r="O671" s="9"/>
      <c r="P671" s="27"/>
      <c r="Q671" s="27"/>
      <c r="R671" s="27"/>
    </row>
    <row r="672">
      <c r="C672" s="9"/>
      <c r="D672" s="9"/>
      <c r="O672" s="9"/>
      <c r="P672" s="27"/>
      <c r="Q672" s="27"/>
      <c r="R672" s="27"/>
    </row>
    <row r="673">
      <c r="C673" s="9"/>
      <c r="D673" s="9"/>
      <c r="O673" s="9"/>
      <c r="P673" s="27"/>
      <c r="Q673" s="27"/>
      <c r="R673" s="27"/>
    </row>
    <row r="674">
      <c r="C674" s="9"/>
      <c r="D674" s="9"/>
      <c r="O674" s="9"/>
      <c r="P674" s="27"/>
      <c r="Q674" s="27"/>
      <c r="R674" s="27"/>
    </row>
    <row r="675">
      <c r="C675" s="9"/>
      <c r="D675" s="9"/>
      <c r="O675" s="9"/>
      <c r="P675" s="27"/>
      <c r="Q675" s="27"/>
      <c r="R675" s="27"/>
    </row>
    <row r="676">
      <c r="C676" s="9"/>
      <c r="D676" s="9"/>
      <c r="O676" s="9"/>
      <c r="P676" s="27"/>
      <c r="Q676" s="27"/>
      <c r="R676" s="27"/>
    </row>
    <row r="677">
      <c r="C677" s="9"/>
      <c r="D677" s="9"/>
      <c r="O677" s="9"/>
      <c r="P677" s="27"/>
      <c r="Q677" s="27"/>
      <c r="R677" s="27"/>
    </row>
    <row r="678">
      <c r="C678" s="9"/>
      <c r="D678" s="9"/>
      <c r="O678" s="9"/>
      <c r="P678" s="27"/>
      <c r="Q678" s="27"/>
      <c r="R678" s="27"/>
    </row>
    <row r="679">
      <c r="C679" s="9"/>
      <c r="D679" s="9"/>
      <c r="O679" s="9"/>
      <c r="P679" s="27"/>
      <c r="Q679" s="27"/>
      <c r="R679" s="27"/>
    </row>
    <row r="680">
      <c r="C680" s="9"/>
      <c r="D680" s="9"/>
      <c r="O680" s="9"/>
      <c r="P680" s="27"/>
      <c r="Q680" s="27"/>
      <c r="R680" s="27"/>
    </row>
    <row r="681">
      <c r="C681" s="9"/>
      <c r="D681" s="9"/>
      <c r="O681" s="9"/>
      <c r="P681" s="27"/>
      <c r="Q681" s="27"/>
      <c r="R681" s="27"/>
    </row>
    <row r="682">
      <c r="C682" s="9"/>
      <c r="D682" s="9"/>
      <c r="O682" s="9"/>
      <c r="P682" s="27"/>
      <c r="Q682" s="27"/>
      <c r="R682" s="27"/>
    </row>
    <row r="683">
      <c r="C683" s="9"/>
      <c r="D683" s="9"/>
      <c r="O683" s="9"/>
      <c r="P683" s="27"/>
      <c r="Q683" s="27"/>
      <c r="R683" s="27"/>
    </row>
    <row r="684">
      <c r="C684" s="9"/>
      <c r="D684" s="9"/>
      <c r="O684" s="9"/>
      <c r="P684" s="27"/>
      <c r="Q684" s="27"/>
      <c r="R684" s="27"/>
    </row>
    <row r="685">
      <c r="C685" s="9"/>
      <c r="D685" s="9"/>
      <c r="O685" s="9"/>
      <c r="P685" s="27"/>
      <c r="Q685" s="27"/>
      <c r="R685" s="27"/>
    </row>
    <row r="686">
      <c r="C686" s="9"/>
      <c r="D686" s="9"/>
      <c r="O686" s="9"/>
      <c r="P686" s="27"/>
      <c r="Q686" s="27"/>
      <c r="R686" s="27"/>
    </row>
    <row r="687">
      <c r="C687" s="9"/>
      <c r="D687" s="9"/>
      <c r="O687" s="9"/>
      <c r="P687" s="27"/>
      <c r="Q687" s="27"/>
      <c r="R687" s="27"/>
    </row>
    <row r="688">
      <c r="C688" s="9"/>
      <c r="D688" s="9"/>
      <c r="O688" s="9"/>
      <c r="P688" s="27"/>
      <c r="Q688" s="27"/>
      <c r="R688" s="27"/>
    </row>
    <row r="689">
      <c r="C689" s="9"/>
      <c r="D689" s="9"/>
      <c r="O689" s="9"/>
      <c r="P689" s="27"/>
      <c r="Q689" s="27"/>
      <c r="R689" s="27"/>
    </row>
    <row r="690">
      <c r="C690" s="9"/>
      <c r="D690" s="9"/>
      <c r="O690" s="9"/>
      <c r="P690" s="27"/>
      <c r="Q690" s="27"/>
      <c r="R690" s="27"/>
    </row>
    <row r="691">
      <c r="C691" s="9"/>
      <c r="D691" s="9"/>
      <c r="O691" s="9"/>
      <c r="P691" s="27"/>
      <c r="Q691" s="27"/>
      <c r="R691" s="27"/>
    </row>
    <row r="692">
      <c r="C692" s="9"/>
      <c r="D692" s="9"/>
      <c r="O692" s="9"/>
      <c r="P692" s="27"/>
      <c r="Q692" s="27"/>
      <c r="R692" s="27"/>
    </row>
    <row r="693">
      <c r="C693" s="9"/>
      <c r="D693" s="9"/>
      <c r="O693" s="9"/>
      <c r="P693" s="27"/>
      <c r="Q693" s="27"/>
      <c r="R693" s="27"/>
    </row>
    <row r="694">
      <c r="C694" s="9"/>
      <c r="D694" s="9"/>
      <c r="O694" s="9"/>
      <c r="P694" s="27"/>
      <c r="Q694" s="27"/>
      <c r="R694" s="27"/>
    </row>
    <row r="695">
      <c r="C695" s="9"/>
      <c r="D695" s="9"/>
      <c r="O695" s="9"/>
      <c r="P695" s="27"/>
      <c r="Q695" s="27"/>
      <c r="R695" s="27"/>
    </row>
    <row r="696">
      <c r="C696" s="9"/>
      <c r="D696" s="9"/>
      <c r="O696" s="9"/>
      <c r="P696" s="27"/>
      <c r="Q696" s="27"/>
      <c r="R696" s="27"/>
    </row>
    <row r="697">
      <c r="C697" s="9"/>
      <c r="D697" s="9"/>
      <c r="O697" s="9"/>
      <c r="P697" s="27"/>
      <c r="Q697" s="27"/>
      <c r="R697" s="27"/>
    </row>
    <row r="698">
      <c r="C698" s="9"/>
      <c r="D698" s="9"/>
      <c r="O698" s="9"/>
      <c r="P698" s="27"/>
      <c r="Q698" s="27"/>
      <c r="R698" s="27"/>
    </row>
    <row r="699">
      <c r="C699" s="9"/>
      <c r="D699" s="9"/>
      <c r="O699" s="9"/>
      <c r="P699" s="27"/>
      <c r="Q699" s="27"/>
      <c r="R699" s="27"/>
    </row>
    <row r="700">
      <c r="C700" s="9"/>
      <c r="D700" s="9"/>
      <c r="O700" s="9"/>
      <c r="P700" s="27"/>
      <c r="Q700" s="27"/>
      <c r="R700" s="27"/>
    </row>
    <row r="701">
      <c r="C701" s="9"/>
      <c r="D701" s="9"/>
      <c r="O701" s="9"/>
      <c r="P701" s="27"/>
      <c r="Q701" s="27"/>
      <c r="R701" s="27"/>
    </row>
    <row r="702">
      <c r="C702" s="9"/>
      <c r="D702" s="9"/>
      <c r="O702" s="9"/>
      <c r="P702" s="27"/>
      <c r="Q702" s="27"/>
      <c r="R702" s="27"/>
    </row>
    <row r="703">
      <c r="C703" s="9"/>
      <c r="D703" s="9"/>
      <c r="O703" s="9"/>
      <c r="P703" s="27"/>
      <c r="Q703" s="27"/>
      <c r="R703" s="27"/>
    </row>
    <row r="704">
      <c r="C704" s="9"/>
      <c r="D704" s="9"/>
      <c r="O704" s="9"/>
      <c r="P704" s="27"/>
      <c r="Q704" s="27"/>
      <c r="R704" s="27"/>
    </row>
    <row r="705">
      <c r="C705" s="9"/>
      <c r="D705" s="9"/>
      <c r="O705" s="9"/>
      <c r="P705" s="27"/>
      <c r="Q705" s="27"/>
      <c r="R705" s="27"/>
    </row>
    <row r="706">
      <c r="C706" s="9"/>
      <c r="D706" s="9"/>
      <c r="O706" s="9"/>
      <c r="P706" s="27"/>
      <c r="Q706" s="27"/>
      <c r="R706" s="27"/>
    </row>
    <row r="707">
      <c r="C707" s="9"/>
      <c r="D707" s="9"/>
      <c r="O707" s="9"/>
      <c r="P707" s="27"/>
      <c r="Q707" s="27"/>
      <c r="R707" s="27"/>
    </row>
    <row r="708">
      <c r="C708" s="9"/>
      <c r="D708" s="9"/>
      <c r="O708" s="9"/>
      <c r="P708" s="27"/>
      <c r="Q708" s="27"/>
      <c r="R708" s="27"/>
    </row>
    <row r="709">
      <c r="C709" s="9"/>
      <c r="D709" s="9"/>
      <c r="O709" s="9"/>
      <c r="P709" s="27"/>
      <c r="Q709" s="27"/>
      <c r="R709" s="27"/>
    </row>
    <row r="710">
      <c r="C710" s="9"/>
      <c r="D710" s="9"/>
      <c r="O710" s="9"/>
      <c r="P710" s="27"/>
      <c r="Q710" s="27"/>
      <c r="R710" s="27"/>
    </row>
    <row r="711">
      <c r="C711" s="9"/>
      <c r="D711" s="9"/>
      <c r="O711" s="9"/>
      <c r="P711" s="27"/>
      <c r="Q711" s="27"/>
      <c r="R711" s="27"/>
    </row>
    <row r="712">
      <c r="C712" s="9"/>
      <c r="D712" s="9"/>
      <c r="O712" s="9"/>
      <c r="P712" s="27"/>
      <c r="Q712" s="27"/>
      <c r="R712" s="27"/>
    </row>
    <row r="713">
      <c r="C713" s="9"/>
      <c r="D713" s="9"/>
      <c r="O713" s="9"/>
      <c r="P713" s="27"/>
      <c r="Q713" s="27"/>
      <c r="R713" s="27"/>
    </row>
    <row r="714">
      <c r="C714" s="9"/>
      <c r="D714" s="9"/>
      <c r="O714" s="9"/>
      <c r="P714" s="27"/>
      <c r="Q714" s="27"/>
      <c r="R714" s="27"/>
    </row>
    <row r="715">
      <c r="C715" s="9"/>
      <c r="D715" s="9"/>
      <c r="O715" s="9"/>
      <c r="P715" s="27"/>
      <c r="Q715" s="27"/>
      <c r="R715" s="27"/>
    </row>
    <row r="716">
      <c r="C716" s="9"/>
      <c r="D716" s="9"/>
      <c r="O716" s="9"/>
      <c r="P716" s="27"/>
      <c r="Q716" s="27"/>
      <c r="R716" s="27"/>
    </row>
    <row r="717">
      <c r="C717" s="9"/>
      <c r="D717" s="9"/>
      <c r="O717" s="9"/>
      <c r="P717" s="27"/>
      <c r="Q717" s="27"/>
      <c r="R717" s="27"/>
    </row>
    <row r="718">
      <c r="C718" s="9"/>
      <c r="D718" s="9"/>
      <c r="O718" s="9"/>
      <c r="P718" s="27"/>
      <c r="Q718" s="27"/>
      <c r="R718" s="27"/>
    </row>
    <row r="719">
      <c r="C719" s="9"/>
      <c r="D719" s="9"/>
      <c r="O719" s="9"/>
      <c r="P719" s="27"/>
      <c r="Q719" s="27"/>
      <c r="R719" s="27"/>
    </row>
    <row r="720">
      <c r="C720" s="9"/>
      <c r="D720" s="9"/>
      <c r="O720" s="9"/>
      <c r="P720" s="27"/>
      <c r="Q720" s="27"/>
      <c r="R720" s="27"/>
    </row>
    <row r="721">
      <c r="C721" s="9"/>
      <c r="D721" s="9"/>
      <c r="O721" s="9"/>
      <c r="P721" s="27"/>
      <c r="Q721" s="27"/>
      <c r="R721" s="27"/>
    </row>
    <row r="722">
      <c r="C722" s="9"/>
      <c r="D722" s="9"/>
      <c r="O722" s="9"/>
      <c r="P722" s="27"/>
      <c r="Q722" s="27"/>
      <c r="R722" s="27"/>
    </row>
    <row r="723">
      <c r="C723" s="9"/>
      <c r="D723" s="9"/>
      <c r="O723" s="9"/>
      <c r="P723" s="27"/>
      <c r="Q723" s="27"/>
      <c r="R723" s="27"/>
    </row>
    <row r="724">
      <c r="C724" s="9"/>
      <c r="D724" s="9"/>
      <c r="O724" s="9"/>
      <c r="P724" s="27"/>
      <c r="Q724" s="27"/>
      <c r="R724" s="27"/>
    </row>
    <row r="725">
      <c r="C725" s="9"/>
      <c r="D725" s="9"/>
      <c r="O725" s="9"/>
      <c r="P725" s="27"/>
      <c r="Q725" s="27"/>
      <c r="R725" s="27"/>
    </row>
    <row r="726">
      <c r="C726" s="9"/>
      <c r="D726" s="9"/>
      <c r="O726" s="9"/>
      <c r="P726" s="27"/>
      <c r="Q726" s="27"/>
      <c r="R726" s="27"/>
    </row>
    <row r="727">
      <c r="C727" s="9"/>
      <c r="D727" s="9"/>
      <c r="O727" s="9"/>
      <c r="P727" s="27"/>
      <c r="Q727" s="27"/>
      <c r="R727" s="27"/>
    </row>
    <row r="728">
      <c r="C728" s="9"/>
      <c r="D728" s="9"/>
      <c r="O728" s="9"/>
      <c r="P728" s="27"/>
      <c r="Q728" s="27"/>
      <c r="R728" s="27"/>
    </row>
    <row r="729">
      <c r="C729" s="9"/>
      <c r="D729" s="9"/>
      <c r="O729" s="9"/>
      <c r="P729" s="27"/>
      <c r="Q729" s="27"/>
      <c r="R729" s="27"/>
    </row>
    <row r="730">
      <c r="C730" s="9"/>
      <c r="D730" s="9"/>
      <c r="O730" s="9"/>
      <c r="P730" s="27"/>
      <c r="Q730" s="27"/>
      <c r="R730" s="27"/>
    </row>
    <row r="731">
      <c r="C731" s="9"/>
      <c r="D731" s="9"/>
      <c r="O731" s="9"/>
      <c r="P731" s="27"/>
      <c r="Q731" s="27"/>
      <c r="R731" s="27"/>
    </row>
    <row r="732">
      <c r="C732" s="9"/>
      <c r="D732" s="9"/>
      <c r="O732" s="9"/>
      <c r="P732" s="27"/>
      <c r="Q732" s="27"/>
      <c r="R732" s="27"/>
    </row>
    <row r="733">
      <c r="C733" s="9"/>
      <c r="D733" s="9"/>
      <c r="O733" s="9"/>
      <c r="P733" s="27"/>
      <c r="Q733" s="27"/>
      <c r="R733" s="27"/>
    </row>
    <row r="734">
      <c r="C734" s="9"/>
      <c r="D734" s="9"/>
      <c r="O734" s="9"/>
      <c r="P734" s="27"/>
      <c r="Q734" s="27"/>
      <c r="R734" s="27"/>
    </row>
    <row r="735">
      <c r="C735" s="9"/>
      <c r="D735" s="9"/>
      <c r="O735" s="9"/>
      <c r="P735" s="27"/>
      <c r="Q735" s="27"/>
      <c r="R735" s="27"/>
    </row>
    <row r="736">
      <c r="C736" s="9"/>
      <c r="D736" s="9"/>
      <c r="O736" s="9"/>
      <c r="P736" s="27"/>
      <c r="Q736" s="27"/>
      <c r="R736" s="27"/>
    </row>
    <row r="737">
      <c r="C737" s="9"/>
      <c r="D737" s="9"/>
      <c r="O737" s="9"/>
      <c r="P737" s="27"/>
      <c r="Q737" s="27"/>
      <c r="R737" s="27"/>
    </row>
    <row r="738">
      <c r="C738" s="9"/>
      <c r="D738" s="9"/>
      <c r="O738" s="9"/>
      <c r="P738" s="27"/>
      <c r="Q738" s="27"/>
      <c r="R738" s="27"/>
    </row>
    <row r="739">
      <c r="C739" s="9"/>
      <c r="D739" s="9"/>
      <c r="O739" s="9"/>
      <c r="P739" s="27"/>
      <c r="Q739" s="27"/>
      <c r="R739" s="27"/>
    </row>
    <row r="740">
      <c r="C740" s="9"/>
      <c r="D740" s="9"/>
      <c r="O740" s="9"/>
      <c r="P740" s="27"/>
      <c r="Q740" s="27"/>
      <c r="R740" s="27"/>
    </row>
    <row r="741">
      <c r="C741" s="9"/>
      <c r="D741" s="9"/>
      <c r="O741" s="9"/>
      <c r="P741" s="27"/>
      <c r="Q741" s="27"/>
      <c r="R741" s="27"/>
    </row>
    <row r="742">
      <c r="C742" s="9"/>
      <c r="D742" s="9"/>
      <c r="O742" s="9"/>
      <c r="P742" s="27"/>
      <c r="Q742" s="27"/>
      <c r="R742" s="27"/>
    </row>
    <row r="743">
      <c r="C743" s="9"/>
      <c r="D743" s="9"/>
      <c r="O743" s="9"/>
      <c r="P743" s="27"/>
      <c r="Q743" s="27"/>
      <c r="R743" s="27"/>
    </row>
    <row r="744">
      <c r="C744" s="9"/>
      <c r="D744" s="9"/>
      <c r="O744" s="9"/>
      <c r="P744" s="27"/>
      <c r="Q744" s="27"/>
      <c r="R744" s="27"/>
    </row>
    <row r="745">
      <c r="C745" s="9"/>
      <c r="D745" s="9"/>
      <c r="O745" s="9"/>
      <c r="P745" s="27"/>
      <c r="Q745" s="27"/>
      <c r="R745" s="27"/>
    </row>
    <row r="746">
      <c r="C746" s="9"/>
      <c r="D746" s="9"/>
      <c r="O746" s="9"/>
      <c r="P746" s="27"/>
      <c r="Q746" s="27"/>
      <c r="R746" s="27"/>
    </row>
    <row r="747">
      <c r="C747" s="9"/>
      <c r="D747" s="9"/>
      <c r="O747" s="9"/>
      <c r="P747" s="27"/>
      <c r="Q747" s="27"/>
      <c r="R747" s="27"/>
    </row>
    <row r="748">
      <c r="C748" s="9"/>
      <c r="D748" s="9"/>
      <c r="O748" s="9"/>
      <c r="P748" s="27"/>
      <c r="Q748" s="27"/>
      <c r="R748" s="27"/>
    </row>
    <row r="749">
      <c r="C749" s="9"/>
      <c r="D749" s="9"/>
      <c r="O749" s="9"/>
      <c r="P749" s="27"/>
      <c r="Q749" s="27"/>
      <c r="R749" s="27"/>
    </row>
    <row r="750">
      <c r="C750" s="9"/>
      <c r="D750" s="9"/>
      <c r="O750" s="9"/>
      <c r="P750" s="27"/>
      <c r="Q750" s="27"/>
      <c r="R750" s="27"/>
    </row>
    <row r="751">
      <c r="C751" s="9"/>
      <c r="D751" s="9"/>
      <c r="O751" s="9"/>
      <c r="P751" s="27"/>
      <c r="Q751" s="27"/>
      <c r="R751" s="27"/>
    </row>
    <row r="752">
      <c r="C752" s="9"/>
      <c r="D752" s="9"/>
      <c r="O752" s="9"/>
      <c r="P752" s="27"/>
      <c r="Q752" s="27"/>
      <c r="R752" s="27"/>
    </row>
    <row r="753">
      <c r="C753" s="9"/>
      <c r="D753" s="9"/>
      <c r="O753" s="9"/>
      <c r="P753" s="27"/>
      <c r="Q753" s="27"/>
      <c r="R753" s="27"/>
    </row>
    <row r="754">
      <c r="C754" s="9"/>
      <c r="D754" s="9"/>
      <c r="O754" s="9"/>
      <c r="P754" s="27"/>
      <c r="Q754" s="27"/>
      <c r="R754" s="27"/>
    </row>
    <row r="755">
      <c r="C755" s="9"/>
      <c r="D755" s="9"/>
      <c r="O755" s="9"/>
      <c r="P755" s="27"/>
      <c r="Q755" s="27"/>
      <c r="R755" s="27"/>
    </row>
    <row r="756">
      <c r="C756" s="9"/>
      <c r="D756" s="9"/>
      <c r="O756" s="9"/>
      <c r="P756" s="27"/>
      <c r="Q756" s="27"/>
      <c r="R756" s="27"/>
    </row>
    <row r="757">
      <c r="C757" s="9"/>
      <c r="D757" s="9"/>
      <c r="O757" s="9"/>
      <c r="P757" s="27"/>
      <c r="Q757" s="27"/>
      <c r="R757" s="27"/>
    </row>
    <row r="758">
      <c r="C758" s="9"/>
      <c r="D758" s="9"/>
      <c r="O758" s="9"/>
      <c r="P758" s="27"/>
      <c r="Q758" s="27"/>
      <c r="R758" s="27"/>
    </row>
    <row r="759">
      <c r="C759" s="9"/>
      <c r="D759" s="9"/>
      <c r="O759" s="9"/>
      <c r="P759" s="27"/>
      <c r="Q759" s="27"/>
      <c r="R759" s="27"/>
    </row>
    <row r="760">
      <c r="C760" s="9"/>
      <c r="D760" s="9"/>
      <c r="O760" s="9"/>
      <c r="P760" s="27"/>
      <c r="Q760" s="27"/>
      <c r="R760" s="27"/>
    </row>
    <row r="761">
      <c r="C761" s="9"/>
      <c r="D761" s="9"/>
      <c r="O761" s="9"/>
      <c r="P761" s="27"/>
      <c r="Q761" s="27"/>
      <c r="R761" s="27"/>
    </row>
    <row r="762">
      <c r="C762" s="9"/>
      <c r="D762" s="9"/>
      <c r="O762" s="9"/>
      <c r="P762" s="27"/>
      <c r="Q762" s="27"/>
      <c r="R762" s="27"/>
    </row>
    <row r="763">
      <c r="C763" s="9"/>
      <c r="D763" s="9"/>
      <c r="O763" s="9"/>
      <c r="P763" s="27"/>
      <c r="Q763" s="27"/>
      <c r="R763" s="27"/>
    </row>
    <row r="764">
      <c r="C764" s="9"/>
      <c r="D764" s="9"/>
      <c r="O764" s="9"/>
      <c r="P764" s="27"/>
      <c r="Q764" s="27"/>
      <c r="R764" s="27"/>
    </row>
    <row r="765">
      <c r="C765" s="9"/>
      <c r="D765" s="9"/>
      <c r="O765" s="9"/>
      <c r="P765" s="27"/>
      <c r="Q765" s="27"/>
      <c r="R765" s="27"/>
    </row>
    <row r="766">
      <c r="C766" s="9"/>
      <c r="D766" s="9"/>
      <c r="O766" s="9"/>
      <c r="P766" s="27"/>
      <c r="Q766" s="27"/>
      <c r="R766" s="27"/>
    </row>
    <row r="767">
      <c r="C767" s="9"/>
      <c r="D767" s="9"/>
      <c r="O767" s="9"/>
      <c r="P767" s="27"/>
      <c r="Q767" s="27"/>
      <c r="R767" s="27"/>
    </row>
    <row r="768">
      <c r="C768" s="9"/>
      <c r="D768" s="9"/>
      <c r="O768" s="9"/>
      <c r="P768" s="27"/>
      <c r="Q768" s="27"/>
      <c r="R768" s="27"/>
    </row>
    <row r="769">
      <c r="C769" s="9"/>
      <c r="D769" s="9"/>
      <c r="O769" s="9"/>
      <c r="P769" s="27"/>
      <c r="Q769" s="27"/>
      <c r="R769" s="27"/>
    </row>
    <row r="770">
      <c r="C770" s="9"/>
      <c r="D770" s="9"/>
      <c r="O770" s="9"/>
      <c r="P770" s="27"/>
      <c r="Q770" s="27"/>
      <c r="R770" s="27"/>
    </row>
    <row r="771">
      <c r="C771" s="9"/>
      <c r="D771" s="9"/>
      <c r="O771" s="9"/>
      <c r="P771" s="27"/>
      <c r="Q771" s="27"/>
      <c r="R771" s="27"/>
    </row>
    <row r="772">
      <c r="C772" s="9"/>
      <c r="D772" s="9"/>
      <c r="O772" s="9"/>
      <c r="P772" s="27"/>
      <c r="Q772" s="27"/>
      <c r="R772" s="27"/>
    </row>
    <row r="773">
      <c r="C773" s="9"/>
      <c r="D773" s="9"/>
      <c r="O773" s="9"/>
      <c r="P773" s="27"/>
      <c r="Q773" s="27"/>
      <c r="R773" s="27"/>
    </row>
    <row r="774">
      <c r="C774" s="9"/>
      <c r="D774" s="9"/>
      <c r="O774" s="9"/>
      <c r="P774" s="27"/>
      <c r="Q774" s="27"/>
      <c r="R774" s="27"/>
    </row>
    <row r="775">
      <c r="C775" s="9"/>
      <c r="D775" s="9"/>
      <c r="O775" s="9"/>
      <c r="P775" s="27"/>
      <c r="Q775" s="27"/>
      <c r="R775" s="27"/>
    </row>
    <row r="776">
      <c r="C776" s="9"/>
      <c r="D776" s="9"/>
      <c r="O776" s="9"/>
      <c r="P776" s="27"/>
      <c r="Q776" s="27"/>
      <c r="R776" s="27"/>
    </row>
    <row r="777">
      <c r="C777" s="9"/>
      <c r="D777" s="9"/>
      <c r="O777" s="9"/>
      <c r="P777" s="27"/>
      <c r="Q777" s="27"/>
      <c r="R777" s="27"/>
    </row>
    <row r="778">
      <c r="C778" s="9"/>
      <c r="D778" s="9"/>
      <c r="O778" s="9"/>
      <c r="P778" s="27"/>
      <c r="Q778" s="27"/>
      <c r="R778" s="27"/>
    </row>
    <row r="779">
      <c r="C779" s="9"/>
      <c r="D779" s="9"/>
      <c r="O779" s="9"/>
      <c r="P779" s="27"/>
      <c r="Q779" s="27"/>
      <c r="R779" s="27"/>
    </row>
    <row r="780">
      <c r="C780" s="9"/>
      <c r="D780" s="9"/>
      <c r="O780" s="9"/>
      <c r="P780" s="27"/>
      <c r="Q780" s="27"/>
      <c r="R780" s="27"/>
    </row>
    <row r="781">
      <c r="C781" s="9"/>
      <c r="D781" s="9"/>
      <c r="O781" s="9"/>
      <c r="P781" s="27"/>
      <c r="Q781" s="27"/>
      <c r="R781" s="27"/>
    </row>
    <row r="782">
      <c r="C782" s="9"/>
      <c r="D782" s="9"/>
      <c r="O782" s="9"/>
      <c r="P782" s="27"/>
      <c r="Q782" s="27"/>
      <c r="R782" s="27"/>
    </row>
    <row r="783">
      <c r="C783" s="9"/>
      <c r="D783" s="9"/>
      <c r="O783" s="9"/>
      <c r="P783" s="27"/>
      <c r="Q783" s="27"/>
      <c r="R783" s="27"/>
    </row>
    <row r="784">
      <c r="C784" s="9"/>
      <c r="D784" s="9"/>
      <c r="O784" s="9"/>
      <c r="P784" s="27"/>
      <c r="Q784" s="27"/>
      <c r="R784" s="27"/>
    </row>
    <row r="785">
      <c r="C785" s="9"/>
      <c r="D785" s="9"/>
      <c r="O785" s="9"/>
      <c r="P785" s="27"/>
      <c r="Q785" s="27"/>
      <c r="R785" s="27"/>
    </row>
    <row r="786">
      <c r="C786" s="9"/>
      <c r="D786" s="9"/>
      <c r="O786" s="9"/>
      <c r="P786" s="27"/>
      <c r="Q786" s="27"/>
      <c r="R786" s="27"/>
    </row>
    <row r="787">
      <c r="C787" s="9"/>
      <c r="D787" s="9"/>
      <c r="O787" s="9"/>
      <c r="P787" s="27"/>
      <c r="Q787" s="27"/>
      <c r="R787" s="27"/>
    </row>
    <row r="788">
      <c r="C788" s="9"/>
      <c r="D788" s="9"/>
      <c r="O788" s="9"/>
      <c r="P788" s="27"/>
      <c r="Q788" s="27"/>
      <c r="R788" s="27"/>
    </row>
    <row r="789">
      <c r="C789" s="9"/>
      <c r="D789" s="9"/>
      <c r="O789" s="9"/>
      <c r="P789" s="27"/>
      <c r="Q789" s="27"/>
      <c r="R789" s="27"/>
    </row>
    <row r="790">
      <c r="C790" s="9"/>
      <c r="D790" s="9"/>
      <c r="O790" s="9"/>
      <c r="P790" s="27"/>
      <c r="Q790" s="27"/>
      <c r="R790" s="27"/>
    </row>
    <row r="791">
      <c r="C791" s="9"/>
      <c r="D791" s="9"/>
      <c r="O791" s="9"/>
      <c r="P791" s="27"/>
      <c r="Q791" s="27"/>
      <c r="R791" s="27"/>
    </row>
    <row r="792">
      <c r="C792" s="9"/>
      <c r="D792" s="9"/>
      <c r="O792" s="9"/>
      <c r="P792" s="27"/>
      <c r="Q792" s="27"/>
      <c r="R792" s="27"/>
    </row>
    <row r="793">
      <c r="C793" s="9"/>
      <c r="D793" s="9"/>
      <c r="O793" s="9"/>
      <c r="P793" s="27"/>
      <c r="Q793" s="27"/>
      <c r="R793" s="27"/>
    </row>
    <row r="794">
      <c r="C794" s="9"/>
      <c r="D794" s="9"/>
      <c r="O794" s="9"/>
      <c r="P794" s="27"/>
      <c r="Q794" s="27"/>
      <c r="R794" s="27"/>
    </row>
    <row r="795">
      <c r="C795" s="9"/>
      <c r="D795" s="9"/>
      <c r="O795" s="9"/>
      <c r="P795" s="27"/>
      <c r="Q795" s="27"/>
      <c r="R795" s="27"/>
    </row>
    <row r="796">
      <c r="C796" s="9"/>
      <c r="D796" s="9"/>
      <c r="O796" s="9"/>
      <c r="P796" s="27"/>
      <c r="Q796" s="27"/>
      <c r="R796" s="27"/>
    </row>
    <row r="797">
      <c r="C797" s="9"/>
      <c r="D797" s="9"/>
      <c r="O797" s="9"/>
      <c r="P797" s="27"/>
      <c r="Q797" s="27"/>
      <c r="R797" s="27"/>
    </row>
    <row r="798">
      <c r="C798" s="9"/>
      <c r="D798" s="9"/>
      <c r="O798" s="9"/>
      <c r="P798" s="27"/>
      <c r="Q798" s="27"/>
      <c r="R798" s="27"/>
    </row>
    <row r="799">
      <c r="C799" s="9"/>
      <c r="D799" s="9"/>
      <c r="O799" s="9"/>
      <c r="P799" s="27"/>
      <c r="Q799" s="27"/>
      <c r="R799" s="27"/>
    </row>
    <row r="800">
      <c r="C800" s="9"/>
      <c r="D800" s="9"/>
      <c r="O800" s="9"/>
      <c r="P800" s="27"/>
      <c r="Q800" s="27"/>
      <c r="R800" s="27"/>
    </row>
    <row r="801">
      <c r="C801" s="9"/>
      <c r="D801" s="9"/>
      <c r="O801" s="9"/>
      <c r="P801" s="27"/>
      <c r="Q801" s="27"/>
      <c r="R801" s="27"/>
    </row>
    <row r="802">
      <c r="C802" s="9"/>
      <c r="D802" s="9"/>
      <c r="O802" s="9"/>
      <c r="P802" s="27"/>
      <c r="Q802" s="27"/>
      <c r="R802" s="27"/>
    </row>
    <row r="803">
      <c r="C803" s="9"/>
      <c r="D803" s="9"/>
      <c r="O803" s="9"/>
      <c r="P803" s="27"/>
      <c r="Q803" s="27"/>
      <c r="R803" s="27"/>
    </row>
    <row r="804">
      <c r="C804" s="9"/>
      <c r="D804" s="9"/>
      <c r="O804" s="9"/>
      <c r="P804" s="27"/>
      <c r="Q804" s="27"/>
      <c r="R804" s="27"/>
    </row>
    <row r="805">
      <c r="C805" s="9"/>
      <c r="D805" s="9"/>
      <c r="O805" s="9"/>
      <c r="P805" s="27"/>
      <c r="Q805" s="27"/>
      <c r="R805" s="27"/>
    </row>
    <row r="806">
      <c r="C806" s="9"/>
      <c r="D806" s="9"/>
      <c r="O806" s="9"/>
      <c r="P806" s="27"/>
      <c r="Q806" s="27"/>
      <c r="R806" s="27"/>
    </row>
    <row r="807">
      <c r="C807" s="9"/>
      <c r="D807" s="9"/>
      <c r="O807" s="9"/>
      <c r="P807" s="27"/>
      <c r="Q807" s="27"/>
      <c r="R807" s="27"/>
    </row>
    <row r="808">
      <c r="C808" s="9"/>
      <c r="D808" s="9"/>
      <c r="O808" s="9"/>
      <c r="P808" s="27"/>
      <c r="Q808" s="27"/>
      <c r="R808" s="27"/>
    </row>
    <row r="809">
      <c r="C809" s="9"/>
      <c r="D809" s="9"/>
      <c r="O809" s="9"/>
      <c r="P809" s="27"/>
      <c r="Q809" s="27"/>
      <c r="R809" s="27"/>
    </row>
    <row r="810">
      <c r="C810" s="9"/>
      <c r="D810" s="9"/>
      <c r="O810" s="9"/>
      <c r="P810" s="27"/>
      <c r="Q810" s="27"/>
      <c r="R810" s="27"/>
    </row>
    <row r="811">
      <c r="C811" s="9"/>
      <c r="D811" s="9"/>
      <c r="O811" s="9"/>
      <c r="P811" s="27"/>
      <c r="Q811" s="27"/>
      <c r="R811" s="27"/>
    </row>
    <row r="812">
      <c r="C812" s="9"/>
      <c r="D812" s="9"/>
      <c r="O812" s="9"/>
      <c r="P812" s="27"/>
      <c r="Q812" s="27"/>
      <c r="R812" s="27"/>
    </row>
    <row r="813">
      <c r="C813" s="9"/>
      <c r="D813" s="9"/>
      <c r="O813" s="9"/>
      <c r="P813" s="27"/>
      <c r="Q813" s="27"/>
      <c r="R813" s="27"/>
    </row>
    <row r="814">
      <c r="C814" s="9"/>
      <c r="D814" s="9"/>
      <c r="O814" s="9"/>
      <c r="P814" s="27"/>
      <c r="Q814" s="27"/>
      <c r="R814" s="27"/>
    </row>
    <row r="815">
      <c r="C815" s="9"/>
      <c r="D815" s="9"/>
      <c r="O815" s="9"/>
      <c r="P815" s="27"/>
      <c r="Q815" s="27"/>
      <c r="R815" s="27"/>
    </row>
    <row r="816">
      <c r="C816" s="9"/>
      <c r="D816" s="9"/>
      <c r="O816" s="9"/>
      <c r="P816" s="27"/>
      <c r="Q816" s="27"/>
      <c r="R816" s="27"/>
    </row>
    <row r="817">
      <c r="C817" s="9"/>
      <c r="D817" s="9"/>
      <c r="O817" s="9"/>
      <c r="P817" s="27"/>
      <c r="Q817" s="27"/>
      <c r="R817" s="27"/>
    </row>
    <row r="818">
      <c r="C818" s="9"/>
      <c r="D818" s="9"/>
      <c r="O818" s="9"/>
      <c r="P818" s="27"/>
      <c r="Q818" s="27"/>
      <c r="R818" s="27"/>
    </row>
    <row r="819">
      <c r="C819" s="9"/>
      <c r="D819" s="9"/>
      <c r="O819" s="9"/>
      <c r="P819" s="27"/>
      <c r="Q819" s="27"/>
      <c r="R819" s="27"/>
    </row>
    <row r="820">
      <c r="C820" s="9"/>
      <c r="D820" s="9"/>
      <c r="O820" s="9"/>
      <c r="P820" s="27"/>
      <c r="Q820" s="27"/>
      <c r="R820" s="27"/>
    </row>
    <row r="821">
      <c r="C821" s="9"/>
      <c r="D821" s="9"/>
      <c r="O821" s="9"/>
      <c r="P821" s="27"/>
      <c r="Q821" s="27"/>
      <c r="R821" s="27"/>
    </row>
    <row r="822">
      <c r="C822" s="9"/>
      <c r="D822" s="9"/>
      <c r="O822" s="9"/>
      <c r="P822" s="27"/>
      <c r="Q822" s="27"/>
      <c r="R822" s="27"/>
    </row>
    <row r="823">
      <c r="C823" s="9"/>
      <c r="D823" s="9"/>
      <c r="O823" s="9"/>
      <c r="P823" s="27"/>
      <c r="Q823" s="27"/>
      <c r="R823" s="27"/>
    </row>
    <row r="824">
      <c r="C824" s="9"/>
      <c r="D824" s="9"/>
      <c r="O824" s="9"/>
      <c r="P824" s="27"/>
      <c r="Q824" s="27"/>
      <c r="R824" s="27"/>
    </row>
    <row r="825">
      <c r="C825" s="9"/>
      <c r="D825" s="9"/>
      <c r="O825" s="9"/>
      <c r="P825" s="27"/>
      <c r="Q825" s="27"/>
      <c r="R825" s="27"/>
    </row>
    <row r="826">
      <c r="C826" s="9"/>
      <c r="D826" s="9"/>
      <c r="O826" s="9"/>
      <c r="P826" s="27"/>
      <c r="Q826" s="27"/>
      <c r="R826" s="27"/>
    </row>
    <row r="827">
      <c r="C827" s="9"/>
      <c r="D827" s="9"/>
      <c r="O827" s="9"/>
      <c r="P827" s="27"/>
      <c r="Q827" s="27"/>
      <c r="R827" s="27"/>
    </row>
    <row r="828">
      <c r="C828" s="9"/>
      <c r="D828" s="9"/>
      <c r="O828" s="9"/>
      <c r="P828" s="27"/>
      <c r="Q828" s="27"/>
      <c r="R828" s="27"/>
    </row>
    <row r="829">
      <c r="C829" s="9"/>
      <c r="D829" s="9"/>
      <c r="O829" s="9"/>
      <c r="P829" s="27"/>
      <c r="Q829" s="27"/>
      <c r="R829" s="27"/>
    </row>
    <row r="830">
      <c r="C830" s="9"/>
      <c r="D830" s="9"/>
      <c r="O830" s="9"/>
      <c r="P830" s="27"/>
      <c r="Q830" s="27"/>
      <c r="R830" s="27"/>
    </row>
    <row r="831">
      <c r="C831" s="9"/>
      <c r="D831" s="9"/>
      <c r="O831" s="9"/>
      <c r="P831" s="27"/>
      <c r="Q831" s="27"/>
      <c r="R831" s="27"/>
    </row>
    <row r="832">
      <c r="C832" s="9"/>
      <c r="D832" s="9"/>
      <c r="O832" s="9"/>
      <c r="P832" s="27"/>
      <c r="Q832" s="27"/>
      <c r="R832" s="27"/>
    </row>
    <row r="833">
      <c r="C833" s="9"/>
      <c r="D833" s="9"/>
      <c r="O833" s="9"/>
      <c r="P833" s="27"/>
      <c r="Q833" s="27"/>
      <c r="R833" s="27"/>
    </row>
    <row r="834">
      <c r="C834" s="9"/>
      <c r="D834" s="9"/>
      <c r="O834" s="9"/>
      <c r="P834" s="27"/>
      <c r="Q834" s="27"/>
      <c r="R834" s="27"/>
    </row>
    <row r="835">
      <c r="C835" s="9"/>
      <c r="D835" s="9"/>
      <c r="O835" s="9"/>
      <c r="P835" s="27"/>
      <c r="Q835" s="27"/>
      <c r="R835" s="27"/>
    </row>
    <row r="836">
      <c r="C836" s="9"/>
      <c r="D836" s="9"/>
      <c r="O836" s="9"/>
      <c r="P836" s="27"/>
      <c r="Q836" s="27"/>
      <c r="R836" s="27"/>
    </row>
    <row r="837">
      <c r="C837" s="9"/>
      <c r="D837" s="9"/>
      <c r="O837" s="9"/>
      <c r="P837" s="27"/>
      <c r="Q837" s="27"/>
      <c r="R837" s="27"/>
    </row>
    <row r="838">
      <c r="C838" s="9"/>
      <c r="D838" s="9"/>
      <c r="O838" s="9"/>
      <c r="P838" s="27"/>
      <c r="Q838" s="27"/>
      <c r="R838" s="27"/>
    </row>
    <row r="839">
      <c r="C839" s="9"/>
      <c r="D839" s="9"/>
      <c r="O839" s="9"/>
      <c r="P839" s="27"/>
      <c r="Q839" s="27"/>
      <c r="R839" s="27"/>
    </row>
    <row r="840">
      <c r="C840" s="9"/>
      <c r="D840" s="9"/>
      <c r="O840" s="9"/>
      <c r="P840" s="27"/>
      <c r="Q840" s="27"/>
      <c r="R840" s="27"/>
    </row>
    <row r="841">
      <c r="C841" s="9"/>
      <c r="D841" s="9"/>
      <c r="O841" s="9"/>
      <c r="P841" s="27"/>
      <c r="Q841" s="27"/>
      <c r="R841" s="27"/>
    </row>
    <row r="842">
      <c r="C842" s="9"/>
      <c r="D842" s="9"/>
      <c r="O842" s="9"/>
      <c r="P842" s="27"/>
      <c r="Q842" s="27"/>
      <c r="R842" s="27"/>
    </row>
    <row r="843">
      <c r="C843" s="9"/>
      <c r="D843" s="9"/>
      <c r="O843" s="9"/>
      <c r="P843" s="27"/>
      <c r="Q843" s="27"/>
      <c r="R843" s="27"/>
    </row>
    <row r="844">
      <c r="C844" s="9"/>
      <c r="D844" s="9"/>
      <c r="O844" s="9"/>
      <c r="P844" s="27"/>
      <c r="Q844" s="27"/>
      <c r="R844" s="27"/>
    </row>
    <row r="845">
      <c r="C845" s="9"/>
      <c r="D845" s="9"/>
      <c r="O845" s="9"/>
      <c r="P845" s="27"/>
      <c r="Q845" s="27"/>
      <c r="R845" s="27"/>
    </row>
    <row r="846">
      <c r="C846" s="9"/>
      <c r="D846" s="9"/>
      <c r="O846" s="9"/>
      <c r="P846" s="27"/>
      <c r="Q846" s="27"/>
      <c r="R846" s="27"/>
    </row>
    <row r="847">
      <c r="C847" s="9"/>
      <c r="D847" s="9"/>
      <c r="O847" s="9"/>
      <c r="P847" s="27"/>
      <c r="Q847" s="27"/>
      <c r="R847" s="27"/>
    </row>
    <row r="848">
      <c r="C848" s="9"/>
      <c r="D848" s="9"/>
      <c r="O848" s="9"/>
      <c r="P848" s="27"/>
      <c r="Q848" s="27"/>
      <c r="R848" s="27"/>
    </row>
    <row r="849">
      <c r="C849" s="9"/>
      <c r="D849" s="9"/>
      <c r="O849" s="9"/>
      <c r="P849" s="27"/>
      <c r="Q849" s="27"/>
      <c r="R849" s="27"/>
    </row>
    <row r="850">
      <c r="C850" s="9"/>
      <c r="D850" s="9"/>
      <c r="O850" s="9"/>
      <c r="P850" s="27"/>
      <c r="Q850" s="27"/>
      <c r="R850" s="27"/>
    </row>
    <row r="851">
      <c r="C851" s="9"/>
      <c r="D851" s="9"/>
      <c r="O851" s="9"/>
      <c r="P851" s="27"/>
      <c r="Q851" s="27"/>
      <c r="R851" s="27"/>
    </row>
    <row r="852">
      <c r="C852" s="9"/>
      <c r="D852" s="9"/>
      <c r="O852" s="9"/>
      <c r="P852" s="27"/>
      <c r="Q852" s="27"/>
      <c r="R852" s="27"/>
    </row>
    <row r="853">
      <c r="C853" s="9"/>
      <c r="D853" s="9"/>
      <c r="O853" s="9"/>
      <c r="P853" s="27"/>
      <c r="Q853" s="27"/>
      <c r="R853" s="27"/>
    </row>
    <row r="854">
      <c r="C854" s="9"/>
      <c r="D854" s="9"/>
      <c r="O854" s="9"/>
      <c r="P854" s="27"/>
      <c r="Q854" s="27"/>
      <c r="R854" s="27"/>
    </row>
    <row r="855">
      <c r="C855" s="9"/>
      <c r="D855" s="9"/>
      <c r="O855" s="9"/>
      <c r="P855" s="27"/>
      <c r="Q855" s="27"/>
      <c r="R855" s="27"/>
    </row>
    <row r="856">
      <c r="C856" s="9"/>
      <c r="D856" s="9"/>
      <c r="O856" s="9"/>
      <c r="P856" s="27"/>
      <c r="Q856" s="27"/>
      <c r="R856" s="27"/>
    </row>
    <row r="857">
      <c r="C857" s="9"/>
      <c r="D857" s="9"/>
      <c r="O857" s="9"/>
      <c r="P857" s="27"/>
      <c r="Q857" s="27"/>
      <c r="R857" s="27"/>
    </row>
    <row r="858">
      <c r="C858" s="9"/>
      <c r="D858" s="9"/>
      <c r="O858" s="9"/>
      <c r="P858" s="27"/>
      <c r="Q858" s="27"/>
      <c r="R858" s="27"/>
    </row>
    <row r="859">
      <c r="C859" s="9"/>
      <c r="D859" s="9"/>
      <c r="O859" s="9"/>
      <c r="P859" s="27"/>
      <c r="Q859" s="27"/>
      <c r="R859" s="27"/>
    </row>
    <row r="860">
      <c r="C860" s="9"/>
      <c r="D860" s="9"/>
      <c r="O860" s="9"/>
      <c r="P860" s="27"/>
      <c r="Q860" s="27"/>
      <c r="R860" s="27"/>
    </row>
    <row r="861">
      <c r="C861" s="9"/>
      <c r="D861" s="9"/>
      <c r="O861" s="9"/>
      <c r="P861" s="27"/>
      <c r="Q861" s="27"/>
      <c r="R861" s="27"/>
    </row>
    <row r="862">
      <c r="C862" s="9"/>
      <c r="D862" s="9"/>
      <c r="O862" s="9"/>
      <c r="P862" s="27"/>
      <c r="Q862" s="27"/>
      <c r="R862" s="27"/>
    </row>
    <row r="863">
      <c r="C863" s="9"/>
      <c r="D863" s="9"/>
      <c r="O863" s="9"/>
      <c r="P863" s="27"/>
      <c r="Q863" s="27"/>
      <c r="R863" s="27"/>
    </row>
    <row r="864">
      <c r="C864" s="9"/>
      <c r="D864" s="9"/>
      <c r="O864" s="9"/>
      <c r="P864" s="27"/>
      <c r="Q864" s="27"/>
      <c r="R864" s="27"/>
    </row>
    <row r="865">
      <c r="C865" s="9"/>
      <c r="D865" s="9"/>
      <c r="O865" s="9"/>
      <c r="P865" s="27"/>
      <c r="Q865" s="27"/>
      <c r="R865" s="27"/>
    </row>
    <row r="866">
      <c r="C866" s="9"/>
      <c r="D866" s="9"/>
      <c r="O866" s="9"/>
      <c r="P866" s="27"/>
      <c r="Q866" s="27"/>
      <c r="R866" s="27"/>
    </row>
    <row r="867">
      <c r="C867" s="9"/>
      <c r="D867" s="9"/>
      <c r="O867" s="9"/>
      <c r="P867" s="27"/>
      <c r="Q867" s="27"/>
      <c r="R867" s="27"/>
    </row>
    <row r="868">
      <c r="C868" s="9"/>
      <c r="D868" s="9"/>
      <c r="O868" s="9"/>
      <c r="P868" s="27"/>
      <c r="Q868" s="27"/>
      <c r="R868" s="27"/>
    </row>
    <row r="869">
      <c r="C869" s="9"/>
      <c r="D869" s="9"/>
      <c r="O869" s="9"/>
      <c r="P869" s="27"/>
      <c r="Q869" s="27"/>
      <c r="R869" s="27"/>
    </row>
    <row r="870">
      <c r="C870" s="9"/>
      <c r="D870" s="9"/>
      <c r="O870" s="9"/>
      <c r="P870" s="27"/>
      <c r="Q870" s="27"/>
      <c r="R870" s="27"/>
    </row>
    <row r="871">
      <c r="C871" s="9"/>
      <c r="D871" s="9"/>
      <c r="O871" s="9"/>
      <c r="P871" s="27"/>
      <c r="Q871" s="27"/>
      <c r="R871" s="27"/>
    </row>
    <row r="872">
      <c r="C872" s="9"/>
      <c r="D872" s="9"/>
      <c r="O872" s="9"/>
      <c r="P872" s="27"/>
      <c r="Q872" s="27"/>
      <c r="R872" s="27"/>
    </row>
    <row r="873">
      <c r="C873" s="9"/>
      <c r="D873" s="9"/>
      <c r="O873" s="9"/>
      <c r="P873" s="27"/>
      <c r="Q873" s="27"/>
      <c r="R873" s="27"/>
    </row>
    <row r="874">
      <c r="C874" s="9"/>
      <c r="D874" s="9"/>
      <c r="O874" s="9"/>
      <c r="P874" s="27"/>
      <c r="Q874" s="27"/>
      <c r="R874" s="27"/>
    </row>
    <row r="875">
      <c r="C875" s="9"/>
      <c r="D875" s="9"/>
      <c r="O875" s="9"/>
      <c r="P875" s="27"/>
      <c r="Q875" s="27"/>
      <c r="R875" s="27"/>
    </row>
    <row r="876">
      <c r="C876" s="9"/>
      <c r="D876" s="9"/>
      <c r="O876" s="9"/>
      <c r="P876" s="27"/>
      <c r="Q876" s="27"/>
      <c r="R876" s="27"/>
    </row>
    <row r="877">
      <c r="C877" s="9"/>
      <c r="D877" s="9"/>
      <c r="O877" s="9"/>
      <c r="P877" s="27"/>
      <c r="Q877" s="27"/>
      <c r="R877" s="27"/>
    </row>
    <row r="878">
      <c r="C878" s="9"/>
      <c r="D878" s="9"/>
      <c r="O878" s="9"/>
      <c r="P878" s="27"/>
      <c r="Q878" s="27"/>
      <c r="R878" s="27"/>
    </row>
    <row r="879">
      <c r="C879" s="9"/>
      <c r="D879" s="9"/>
      <c r="O879" s="9"/>
      <c r="P879" s="27"/>
      <c r="Q879" s="27"/>
      <c r="R879" s="27"/>
    </row>
    <row r="880">
      <c r="C880" s="9"/>
      <c r="D880" s="9"/>
      <c r="O880" s="9"/>
      <c r="P880" s="27"/>
      <c r="Q880" s="27"/>
      <c r="R880" s="27"/>
    </row>
    <row r="881">
      <c r="C881" s="9"/>
      <c r="D881" s="9"/>
      <c r="O881" s="9"/>
      <c r="P881" s="27"/>
      <c r="Q881" s="27"/>
      <c r="R881" s="27"/>
    </row>
    <row r="882">
      <c r="C882" s="9"/>
      <c r="D882" s="9"/>
      <c r="O882" s="9"/>
      <c r="P882" s="27"/>
      <c r="Q882" s="27"/>
      <c r="R882" s="27"/>
    </row>
    <row r="883">
      <c r="C883" s="9"/>
      <c r="D883" s="9"/>
      <c r="O883" s="9"/>
      <c r="P883" s="27"/>
      <c r="Q883" s="27"/>
      <c r="R883" s="27"/>
    </row>
    <row r="884">
      <c r="C884" s="9"/>
      <c r="D884" s="9"/>
      <c r="O884" s="9"/>
      <c r="P884" s="27"/>
      <c r="Q884" s="27"/>
      <c r="R884" s="27"/>
    </row>
    <row r="885">
      <c r="C885" s="9"/>
      <c r="D885" s="9"/>
      <c r="O885" s="9"/>
      <c r="P885" s="27"/>
      <c r="Q885" s="27"/>
      <c r="R885" s="27"/>
    </row>
    <row r="886">
      <c r="C886" s="9"/>
      <c r="D886" s="9"/>
      <c r="O886" s="9"/>
      <c r="P886" s="27"/>
      <c r="Q886" s="27"/>
      <c r="R886" s="27"/>
    </row>
    <row r="887">
      <c r="C887" s="9"/>
      <c r="D887" s="9"/>
      <c r="O887" s="9"/>
      <c r="P887" s="27"/>
      <c r="Q887" s="27"/>
      <c r="R887" s="27"/>
    </row>
    <row r="888">
      <c r="C888" s="9"/>
      <c r="D888" s="9"/>
      <c r="O888" s="9"/>
      <c r="P888" s="27"/>
      <c r="Q888" s="27"/>
      <c r="R888" s="27"/>
    </row>
    <row r="889">
      <c r="C889" s="9"/>
      <c r="D889" s="9"/>
      <c r="O889" s="9"/>
      <c r="P889" s="27"/>
      <c r="Q889" s="27"/>
      <c r="R889" s="27"/>
    </row>
    <row r="890">
      <c r="C890" s="9"/>
      <c r="D890" s="9"/>
      <c r="O890" s="9"/>
      <c r="P890" s="27"/>
      <c r="Q890" s="27"/>
      <c r="R890" s="27"/>
    </row>
    <row r="891">
      <c r="C891" s="9"/>
      <c r="D891" s="9"/>
      <c r="O891" s="9"/>
      <c r="P891" s="27"/>
      <c r="Q891" s="27"/>
      <c r="R891" s="27"/>
    </row>
    <row r="892">
      <c r="C892" s="9"/>
      <c r="D892" s="9"/>
      <c r="O892" s="9"/>
      <c r="P892" s="27"/>
      <c r="Q892" s="27"/>
      <c r="R892" s="27"/>
    </row>
    <row r="893">
      <c r="C893" s="9"/>
      <c r="D893" s="9"/>
      <c r="O893" s="9"/>
      <c r="P893" s="27"/>
      <c r="Q893" s="27"/>
      <c r="R893" s="27"/>
    </row>
    <row r="894">
      <c r="C894" s="9"/>
      <c r="D894" s="9"/>
      <c r="O894" s="9"/>
      <c r="P894" s="27"/>
      <c r="Q894" s="27"/>
      <c r="R894" s="27"/>
    </row>
    <row r="895">
      <c r="C895" s="9"/>
      <c r="D895" s="9"/>
      <c r="O895" s="9"/>
      <c r="P895" s="27"/>
      <c r="Q895" s="27"/>
      <c r="R895" s="27"/>
    </row>
    <row r="896">
      <c r="C896" s="9"/>
      <c r="D896" s="9"/>
      <c r="O896" s="9"/>
      <c r="P896" s="27"/>
      <c r="Q896" s="27"/>
      <c r="R896" s="27"/>
    </row>
    <row r="897">
      <c r="C897" s="9"/>
      <c r="D897" s="9"/>
      <c r="O897" s="9"/>
      <c r="P897" s="27"/>
      <c r="Q897" s="27"/>
      <c r="R897" s="27"/>
    </row>
    <row r="898">
      <c r="C898" s="9"/>
      <c r="D898" s="9"/>
      <c r="O898" s="9"/>
      <c r="P898" s="27"/>
      <c r="Q898" s="27"/>
      <c r="R898" s="27"/>
    </row>
    <row r="899">
      <c r="C899" s="9"/>
      <c r="D899" s="9"/>
      <c r="O899" s="9"/>
      <c r="P899" s="27"/>
      <c r="Q899" s="27"/>
      <c r="R899" s="27"/>
    </row>
    <row r="900">
      <c r="C900" s="9"/>
      <c r="D900" s="9"/>
      <c r="O900" s="9"/>
      <c r="P900" s="27"/>
      <c r="Q900" s="27"/>
      <c r="R900" s="27"/>
    </row>
    <row r="901">
      <c r="C901" s="9"/>
      <c r="D901" s="9"/>
      <c r="O901" s="9"/>
      <c r="P901" s="27"/>
      <c r="Q901" s="27"/>
      <c r="R901" s="27"/>
    </row>
    <row r="902">
      <c r="C902" s="9"/>
      <c r="D902" s="9"/>
      <c r="O902" s="9"/>
      <c r="P902" s="27"/>
      <c r="Q902" s="27"/>
      <c r="R902" s="27"/>
    </row>
    <row r="903">
      <c r="C903" s="9"/>
      <c r="D903" s="9"/>
      <c r="O903" s="9"/>
      <c r="P903" s="27"/>
      <c r="Q903" s="27"/>
      <c r="R903" s="27"/>
    </row>
    <row r="904">
      <c r="C904" s="9"/>
      <c r="D904" s="9"/>
      <c r="O904" s="9"/>
      <c r="P904" s="27"/>
      <c r="Q904" s="27"/>
      <c r="R904" s="27"/>
    </row>
    <row r="905">
      <c r="C905" s="9"/>
      <c r="D905" s="9"/>
      <c r="O905" s="9"/>
      <c r="P905" s="27"/>
      <c r="Q905" s="27"/>
      <c r="R905" s="27"/>
    </row>
    <row r="906">
      <c r="C906" s="9"/>
      <c r="D906" s="9"/>
      <c r="O906" s="9"/>
      <c r="P906" s="27"/>
      <c r="Q906" s="27"/>
      <c r="R906" s="27"/>
    </row>
    <row r="907">
      <c r="C907" s="9"/>
      <c r="D907" s="9"/>
      <c r="O907" s="9"/>
      <c r="P907" s="27"/>
      <c r="Q907" s="27"/>
      <c r="R907" s="27"/>
    </row>
    <row r="908">
      <c r="C908" s="9"/>
      <c r="D908" s="9"/>
      <c r="O908" s="9"/>
      <c r="P908" s="27"/>
      <c r="Q908" s="27"/>
      <c r="R908" s="27"/>
    </row>
    <row r="909">
      <c r="C909" s="9"/>
      <c r="D909" s="9"/>
      <c r="O909" s="9"/>
      <c r="P909" s="27"/>
      <c r="Q909" s="27"/>
      <c r="R909" s="27"/>
    </row>
    <row r="910">
      <c r="C910" s="9"/>
      <c r="D910" s="9"/>
      <c r="O910" s="9"/>
      <c r="P910" s="27"/>
      <c r="Q910" s="27"/>
      <c r="R910" s="27"/>
    </row>
    <row r="911">
      <c r="C911" s="9"/>
      <c r="D911" s="9"/>
      <c r="O911" s="9"/>
      <c r="P911" s="27"/>
      <c r="Q911" s="27"/>
      <c r="R911" s="27"/>
    </row>
    <row r="912">
      <c r="C912" s="9"/>
      <c r="D912" s="9"/>
      <c r="O912" s="9"/>
      <c r="P912" s="27"/>
      <c r="Q912" s="27"/>
      <c r="R912" s="27"/>
    </row>
    <row r="913">
      <c r="C913" s="9"/>
      <c r="D913" s="9"/>
      <c r="O913" s="9"/>
      <c r="P913" s="27"/>
      <c r="Q913" s="27"/>
      <c r="R913" s="27"/>
    </row>
    <row r="914">
      <c r="C914" s="9"/>
      <c r="D914" s="9"/>
      <c r="O914" s="9"/>
      <c r="P914" s="27"/>
      <c r="Q914" s="27"/>
      <c r="R914" s="27"/>
    </row>
    <row r="915">
      <c r="C915" s="9"/>
      <c r="D915" s="9"/>
      <c r="O915" s="9"/>
      <c r="P915" s="27"/>
      <c r="Q915" s="27"/>
      <c r="R915" s="27"/>
    </row>
    <row r="916">
      <c r="C916" s="9"/>
      <c r="D916" s="9"/>
      <c r="O916" s="9"/>
      <c r="P916" s="27"/>
      <c r="Q916" s="27"/>
      <c r="R916" s="27"/>
    </row>
    <row r="917">
      <c r="C917" s="9"/>
      <c r="D917" s="9"/>
      <c r="O917" s="9"/>
      <c r="P917" s="27"/>
      <c r="Q917" s="27"/>
      <c r="R917" s="27"/>
    </row>
    <row r="918">
      <c r="C918" s="9"/>
      <c r="D918" s="9"/>
      <c r="O918" s="9"/>
      <c r="P918" s="27"/>
      <c r="Q918" s="27"/>
      <c r="R918" s="27"/>
    </row>
    <row r="919">
      <c r="C919" s="9"/>
      <c r="D919" s="9"/>
      <c r="O919" s="9"/>
      <c r="P919" s="27"/>
      <c r="Q919" s="27"/>
      <c r="R919" s="27"/>
    </row>
    <row r="920">
      <c r="C920" s="9"/>
      <c r="D920" s="9"/>
      <c r="O920" s="9"/>
      <c r="P920" s="27"/>
      <c r="Q920" s="27"/>
      <c r="R920" s="27"/>
    </row>
    <row r="921">
      <c r="C921" s="9"/>
      <c r="D921" s="9"/>
      <c r="O921" s="9"/>
      <c r="P921" s="27"/>
      <c r="Q921" s="27"/>
      <c r="R921" s="27"/>
    </row>
    <row r="922">
      <c r="C922" s="9"/>
      <c r="D922" s="9"/>
      <c r="O922" s="9"/>
      <c r="P922" s="27"/>
      <c r="Q922" s="27"/>
      <c r="R922" s="27"/>
    </row>
    <row r="923">
      <c r="C923" s="9"/>
      <c r="D923" s="9"/>
      <c r="O923" s="9"/>
      <c r="P923" s="27"/>
      <c r="Q923" s="27"/>
      <c r="R923" s="27"/>
    </row>
    <row r="924">
      <c r="C924" s="9"/>
      <c r="D924" s="9"/>
      <c r="O924" s="9"/>
      <c r="P924" s="27"/>
      <c r="Q924" s="27"/>
      <c r="R924" s="27"/>
    </row>
    <row r="925">
      <c r="C925" s="9"/>
      <c r="D925" s="9"/>
      <c r="O925" s="9"/>
      <c r="P925" s="27"/>
      <c r="Q925" s="27"/>
      <c r="R925" s="27"/>
    </row>
    <row r="926">
      <c r="C926" s="9"/>
      <c r="D926" s="9"/>
      <c r="O926" s="9"/>
      <c r="P926" s="27"/>
      <c r="Q926" s="27"/>
      <c r="R926" s="27"/>
    </row>
    <row r="927">
      <c r="C927" s="9"/>
      <c r="D927" s="9"/>
      <c r="O927" s="9"/>
      <c r="P927" s="27"/>
      <c r="Q927" s="27"/>
      <c r="R927" s="27"/>
    </row>
    <row r="928">
      <c r="C928" s="9"/>
      <c r="D928" s="9"/>
      <c r="O928" s="9"/>
      <c r="P928" s="27"/>
      <c r="Q928" s="27"/>
      <c r="R928" s="27"/>
    </row>
    <row r="929">
      <c r="C929" s="9"/>
      <c r="D929" s="9"/>
      <c r="O929" s="9"/>
      <c r="P929" s="27"/>
      <c r="Q929" s="27"/>
      <c r="R929" s="27"/>
    </row>
    <row r="930">
      <c r="C930" s="9"/>
      <c r="D930" s="9"/>
      <c r="O930" s="9"/>
      <c r="P930" s="27"/>
      <c r="Q930" s="27"/>
      <c r="R930" s="27"/>
    </row>
    <row r="931">
      <c r="C931" s="9"/>
      <c r="D931" s="9"/>
      <c r="O931" s="9"/>
      <c r="P931" s="27"/>
      <c r="Q931" s="27"/>
      <c r="R931" s="27"/>
    </row>
    <row r="932">
      <c r="C932" s="9"/>
      <c r="D932" s="9"/>
      <c r="O932" s="9"/>
      <c r="P932" s="27"/>
      <c r="Q932" s="27"/>
      <c r="R932" s="27"/>
    </row>
    <row r="933">
      <c r="C933" s="9"/>
      <c r="D933" s="9"/>
      <c r="O933" s="9"/>
      <c r="P933" s="27"/>
      <c r="Q933" s="27"/>
      <c r="R933" s="27"/>
    </row>
    <row r="934">
      <c r="C934" s="9"/>
      <c r="D934" s="9"/>
      <c r="O934" s="9"/>
      <c r="P934" s="27"/>
      <c r="Q934" s="27"/>
      <c r="R934" s="27"/>
    </row>
    <row r="935">
      <c r="C935" s="9"/>
      <c r="D935" s="9"/>
      <c r="O935" s="9"/>
      <c r="P935" s="27"/>
      <c r="Q935" s="27"/>
      <c r="R935" s="27"/>
    </row>
    <row r="936">
      <c r="C936" s="9"/>
      <c r="D936" s="9"/>
      <c r="O936" s="9"/>
      <c r="P936" s="27"/>
      <c r="Q936" s="27"/>
      <c r="R936" s="27"/>
    </row>
    <row r="937">
      <c r="C937" s="9"/>
      <c r="D937" s="9"/>
      <c r="O937" s="9"/>
      <c r="P937" s="27"/>
      <c r="Q937" s="27"/>
      <c r="R937" s="27"/>
    </row>
    <row r="938">
      <c r="C938" s="9"/>
      <c r="D938" s="9"/>
      <c r="O938" s="9"/>
      <c r="P938" s="27"/>
      <c r="Q938" s="27"/>
      <c r="R938" s="27"/>
    </row>
    <row r="939">
      <c r="C939" s="9"/>
      <c r="D939" s="9"/>
      <c r="O939" s="9"/>
      <c r="P939" s="27"/>
      <c r="Q939" s="27"/>
      <c r="R939" s="27"/>
    </row>
    <row r="940">
      <c r="C940" s="9"/>
      <c r="D940" s="9"/>
      <c r="O940" s="9"/>
      <c r="P940" s="27"/>
      <c r="Q940" s="27"/>
      <c r="R940" s="27"/>
    </row>
    <row r="941">
      <c r="C941" s="9"/>
      <c r="D941" s="9"/>
      <c r="O941" s="9"/>
      <c r="P941" s="27"/>
      <c r="Q941" s="27"/>
      <c r="R941" s="27"/>
    </row>
    <row r="942">
      <c r="C942" s="9"/>
      <c r="D942" s="9"/>
      <c r="O942" s="9"/>
      <c r="P942" s="27"/>
      <c r="Q942" s="27"/>
      <c r="R942" s="27"/>
    </row>
    <row r="943">
      <c r="C943" s="9"/>
      <c r="D943" s="9"/>
      <c r="O943" s="9"/>
      <c r="P943" s="27"/>
      <c r="Q943" s="27"/>
      <c r="R943" s="27"/>
    </row>
    <row r="944">
      <c r="C944" s="9"/>
      <c r="D944" s="9"/>
      <c r="O944" s="9"/>
      <c r="P944" s="27"/>
      <c r="Q944" s="27"/>
      <c r="R944" s="27"/>
    </row>
    <row r="945">
      <c r="C945" s="9"/>
      <c r="D945" s="9"/>
      <c r="O945" s="9"/>
      <c r="P945" s="27"/>
      <c r="Q945" s="27"/>
      <c r="R945" s="27"/>
    </row>
    <row r="946">
      <c r="C946" s="9"/>
      <c r="D946" s="9"/>
      <c r="O946" s="9"/>
      <c r="P946" s="27"/>
      <c r="Q946" s="27"/>
      <c r="R946" s="27"/>
    </row>
    <row r="947">
      <c r="C947" s="9"/>
      <c r="D947" s="9"/>
      <c r="O947" s="9"/>
      <c r="P947" s="27"/>
      <c r="Q947" s="27"/>
      <c r="R947" s="27"/>
    </row>
    <row r="948">
      <c r="C948" s="9"/>
      <c r="D948" s="9"/>
      <c r="O948" s="9"/>
      <c r="P948" s="27"/>
      <c r="Q948" s="27"/>
      <c r="R948" s="27"/>
    </row>
    <row r="949">
      <c r="C949" s="9"/>
      <c r="D949" s="9"/>
      <c r="O949" s="9"/>
      <c r="P949" s="27"/>
      <c r="Q949" s="27"/>
      <c r="R949" s="27"/>
    </row>
    <row r="950">
      <c r="C950" s="9"/>
      <c r="D950" s="9"/>
      <c r="O950" s="9"/>
      <c r="P950" s="27"/>
      <c r="Q950" s="27"/>
      <c r="R950" s="27"/>
    </row>
    <row r="951">
      <c r="C951" s="9"/>
      <c r="D951" s="9"/>
      <c r="O951" s="9"/>
      <c r="P951" s="27"/>
      <c r="Q951" s="27"/>
      <c r="R951" s="27"/>
    </row>
    <row r="952">
      <c r="C952" s="9"/>
      <c r="D952" s="9"/>
      <c r="O952" s="9"/>
      <c r="P952" s="27"/>
      <c r="Q952" s="27"/>
      <c r="R952" s="27"/>
    </row>
    <row r="953">
      <c r="C953" s="9"/>
      <c r="D953" s="9"/>
      <c r="O953" s="9"/>
      <c r="P953" s="27"/>
      <c r="Q953" s="27"/>
      <c r="R953" s="27"/>
    </row>
    <row r="954">
      <c r="C954" s="9"/>
      <c r="D954" s="9"/>
      <c r="O954" s="9"/>
      <c r="P954" s="27"/>
      <c r="Q954" s="27"/>
      <c r="R954" s="27"/>
    </row>
    <row r="955">
      <c r="C955" s="9"/>
      <c r="D955" s="9"/>
      <c r="O955" s="9"/>
      <c r="P955" s="27"/>
      <c r="Q955" s="27"/>
      <c r="R955" s="27"/>
    </row>
    <row r="956">
      <c r="C956" s="9"/>
      <c r="D956" s="9"/>
      <c r="O956" s="9"/>
      <c r="P956" s="27"/>
      <c r="Q956" s="27"/>
      <c r="R956" s="27"/>
    </row>
    <row r="957">
      <c r="C957" s="9"/>
      <c r="D957" s="9"/>
      <c r="O957" s="9"/>
      <c r="P957" s="27"/>
      <c r="Q957" s="27"/>
      <c r="R957" s="27"/>
    </row>
    <row r="958">
      <c r="C958" s="9"/>
      <c r="D958" s="9"/>
      <c r="O958" s="9"/>
      <c r="P958" s="27"/>
      <c r="Q958" s="27"/>
      <c r="R958" s="27"/>
    </row>
    <row r="959">
      <c r="C959" s="9"/>
      <c r="D959" s="9"/>
      <c r="O959" s="9"/>
      <c r="P959" s="27"/>
      <c r="Q959" s="27"/>
      <c r="R959" s="27"/>
    </row>
    <row r="960">
      <c r="C960" s="9"/>
      <c r="D960" s="9"/>
      <c r="O960" s="9"/>
      <c r="P960" s="27"/>
      <c r="Q960" s="27"/>
      <c r="R960" s="27"/>
    </row>
    <row r="961">
      <c r="C961" s="9"/>
      <c r="D961" s="9"/>
      <c r="O961" s="9"/>
      <c r="P961" s="27"/>
      <c r="Q961" s="27"/>
      <c r="R961" s="27"/>
    </row>
    <row r="962">
      <c r="C962" s="9"/>
      <c r="D962" s="9"/>
      <c r="O962" s="9"/>
      <c r="P962" s="27"/>
      <c r="Q962" s="27"/>
      <c r="R962" s="27"/>
    </row>
    <row r="963">
      <c r="C963" s="9"/>
      <c r="D963" s="9"/>
      <c r="O963" s="9"/>
      <c r="P963" s="27"/>
      <c r="Q963" s="27"/>
      <c r="R963" s="27"/>
    </row>
    <row r="964">
      <c r="C964" s="9"/>
      <c r="D964" s="9"/>
      <c r="O964" s="9"/>
      <c r="P964" s="27"/>
      <c r="Q964" s="27"/>
      <c r="R964" s="27"/>
    </row>
    <row r="965">
      <c r="C965" s="9"/>
      <c r="D965" s="9"/>
      <c r="O965" s="9"/>
      <c r="P965" s="27"/>
      <c r="Q965" s="27"/>
      <c r="R965" s="27"/>
    </row>
    <row r="966">
      <c r="C966" s="9"/>
      <c r="D966" s="9"/>
      <c r="O966" s="9"/>
      <c r="P966" s="27"/>
      <c r="Q966" s="27"/>
      <c r="R966" s="27"/>
    </row>
    <row r="967">
      <c r="C967" s="9"/>
      <c r="D967" s="9"/>
      <c r="O967" s="9"/>
      <c r="P967" s="27"/>
      <c r="Q967" s="27"/>
      <c r="R967" s="27"/>
    </row>
    <row r="968">
      <c r="C968" s="9"/>
      <c r="D968" s="9"/>
      <c r="O968" s="9"/>
      <c r="P968" s="27"/>
      <c r="Q968" s="27"/>
      <c r="R968" s="27"/>
    </row>
    <row r="969">
      <c r="C969" s="9"/>
      <c r="D969" s="9"/>
      <c r="O969" s="9"/>
      <c r="P969" s="27"/>
      <c r="Q969" s="27"/>
      <c r="R969" s="27"/>
    </row>
    <row r="970">
      <c r="C970" s="9"/>
      <c r="D970" s="9"/>
      <c r="O970" s="9"/>
      <c r="P970" s="27"/>
      <c r="Q970" s="27"/>
      <c r="R970" s="27"/>
    </row>
    <row r="971">
      <c r="C971" s="9"/>
      <c r="D971" s="9"/>
      <c r="O971" s="9"/>
      <c r="P971" s="27"/>
      <c r="Q971" s="27"/>
      <c r="R971" s="27"/>
    </row>
    <row r="972">
      <c r="C972" s="9"/>
      <c r="D972" s="9"/>
      <c r="O972" s="9"/>
      <c r="P972" s="27"/>
      <c r="Q972" s="27"/>
      <c r="R972" s="27"/>
    </row>
    <row r="973">
      <c r="C973" s="9"/>
      <c r="D973" s="9"/>
      <c r="O973" s="9"/>
      <c r="P973" s="27"/>
      <c r="Q973" s="27"/>
      <c r="R973" s="27"/>
    </row>
    <row r="974">
      <c r="C974" s="9"/>
      <c r="D974" s="9"/>
      <c r="O974" s="9"/>
      <c r="P974" s="27"/>
      <c r="Q974" s="27"/>
      <c r="R974" s="27"/>
    </row>
    <row r="975">
      <c r="C975" s="9"/>
      <c r="D975" s="9"/>
      <c r="O975" s="9"/>
      <c r="P975" s="27"/>
      <c r="Q975" s="27"/>
      <c r="R975" s="27"/>
    </row>
    <row r="976">
      <c r="C976" s="9"/>
      <c r="D976" s="9"/>
      <c r="O976" s="9"/>
      <c r="P976" s="27"/>
      <c r="Q976" s="27"/>
      <c r="R976" s="27"/>
    </row>
    <row r="977">
      <c r="C977" s="9"/>
      <c r="D977" s="9"/>
      <c r="O977" s="9"/>
      <c r="P977" s="27"/>
      <c r="Q977" s="27"/>
      <c r="R977" s="27"/>
    </row>
    <row r="978">
      <c r="C978" s="9"/>
      <c r="D978" s="9"/>
      <c r="O978" s="9"/>
      <c r="P978" s="27"/>
      <c r="Q978" s="27"/>
      <c r="R978" s="27"/>
    </row>
    <row r="979">
      <c r="C979" s="9"/>
      <c r="D979" s="9"/>
      <c r="O979" s="9"/>
      <c r="P979" s="27"/>
      <c r="Q979" s="27"/>
      <c r="R979" s="27"/>
    </row>
    <row r="980">
      <c r="C980" s="9"/>
      <c r="D980" s="9"/>
      <c r="O980" s="9"/>
      <c r="P980" s="27"/>
      <c r="Q980" s="27"/>
      <c r="R980" s="27"/>
    </row>
    <row r="981">
      <c r="C981" s="9"/>
      <c r="D981" s="9"/>
      <c r="O981" s="9"/>
      <c r="P981" s="27"/>
      <c r="Q981" s="27"/>
      <c r="R981" s="27"/>
    </row>
    <row r="982">
      <c r="C982" s="9"/>
      <c r="D982" s="9"/>
      <c r="O982" s="9"/>
      <c r="P982" s="27"/>
      <c r="Q982" s="27"/>
      <c r="R982" s="27"/>
    </row>
    <row r="983">
      <c r="C983" s="9"/>
      <c r="D983" s="9"/>
      <c r="O983" s="9"/>
      <c r="P983" s="27"/>
      <c r="Q983" s="27"/>
      <c r="R983" s="27"/>
    </row>
    <row r="984">
      <c r="C984" s="9"/>
      <c r="D984" s="9"/>
      <c r="O984" s="9"/>
      <c r="P984" s="27"/>
      <c r="Q984" s="27"/>
      <c r="R984" s="27"/>
    </row>
    <row r="985">
      <c r="C985" s="9"/>
      <c r="D985" s="9"/>
      <c r="O985" s="9"/>
      <c r="P985" s="27"/>
      <c r="Q985" s="27"/>
      <c r="R985" s="27"/>
    </row>
  </sheetData>
  <customSheetViews>
    <customSheetView guid="{F4236DB6-EF65-4DF4-9417-3680F488022F}" filter="1" showAutoFilter="1">
      <autoFilter ref="$A$4:$R$75">
        <filterColumn colId="7">
          <customFilters>
            <customFilter val="*未着手*"/>
          </customFilters>
        </filterColumn>
        <filterColumn colId="4">
          <filters blank="1">
            <filter val="ベトナム"/>
            <filter val="ベトナム+角"/>
            <filter val="杉本→ベトナム"/>
            <filter val="https://redmine.famishare.jp/issues/218457"/>
            <filter val="ベトナム(Dev910)、杉本"/>
            <filter val="Dev1"/>
            <filter val="Dev1？"/>
            <filter val="杉本"/>
          </filters>
        </filterColumn>
      </autoFilter>
    </customSheetView>
    <customSheetView guid="{CD5E3487-C2AC-47B0-ACF3-635721EF3DAD}" filter="1" showAutoFilter="1">
      <autoFilter ref="$A$4:$R$75">
        <filterColumn colId="7">
          <customFilters>
            <customFilter operator="notEqual" val="*完了*"/>
          </customFilters>
        </filterColumn>
        <filterColumn colId="16">
          <filters blank="1">
            <filter val="FALSE"/>
          </filters>
        </filterColumn>
        <filterColumn colId="15">
          <filters>
            <filter val="TRUE"/>
          </filters>
        </filterColumn>
      </autoFilter>
    </customSheetView>
    <customSheetView guid="{A41C9B87-4ABC-4BCD-9C74-2AC9961CBDB2}" filter="1" showAutoFilter="1">
      <autoFilter ref="$A$4:$R$75">
        <filterColumn colId="7">
          <filters blank="1">
            <filter val="調査中"/>
            <filter val="未着手"/>
            <filter val="着手中"/>
            <filter val="確認中"/>
            <filter val="不要"/>
          </filters>
        </filterColumn>
        <filterColumn colId="4">
          <filters>
            <filter val="角"/>
            <filter val="ベトナム+角"/>
            <filter val="杉本→ベトナム"/>
            <filter val="https://redmine.famishare.jp/issues/218457"/>
            <filter val="ベトナム(Dev910)、杉本"/>
            <filter val="Dev1"/>
            <filter val="Dev1？"/>
          </filters>
        </filterColumn>
      </autoFilter>
    </customSheetView>
    <customSheetView guid="{23C0B1AE-50D1-49A0-9CD6-C40FE3E1B341}" filter="1" showAutoFilter="1">
      <autoFilter ref="$A$4:$R$75">
        <filterColumn colId="7">
          <customFilters>
            <customFilter val="*未着手*"/>
          </customFilters>
        </filterColumn>
        <filterColumn colId="17">
          <filters>
            <filter val="TRUE"/>
          </filters>
        </filterColumn>
      </autoFilter>
    </customSheetView>
    <customSheetView guid="{5354FC22-1C12-4E76-A795-E0A2759A6A3B}" filter="1" showAutoFilter="1">
      <autoFilter ref="$A$4:$R$75">
        <filterColumn colId="7">
          <filters blank="1">
            <filter val="調査中"/>
            <filter val="未着手"/>
            <filter val="着手中"/>
            <filter val="確認中"/>
            <filter val="不要"/>
          </filters>
        </filterColumn>
        <filterColumn colId="11">
          <filters>
            <filter val="2026/01/16"/>
            <filter val="2026/02/28"/>
            <filter val="2026/02/06"/>
            <filter val="2025/09/08"/>
            <filter val="2026/01/12"/>
            <filter val="2025/12/19"/>
            <filter val="2025/11/21"/>
            <filter val="2025/12/11"/>
            <filter val="2025/09/15"/>
            <filter val="2025/09/18"/>
            <filter val="2025/08/22"/>
            <filter val="2025/09/12"/>
            <filter val="2026/01/06"/>
            <filter val="2026/01/25"/>
            <filter val="2025/08/29"/>
            <filter val="2026/02/13"/>
            <filter val="2025/11/14"/>
            <filter val="2026/04/17"/>
            <filter val="2025/10/01"/>
            <filter val="2025/09/04"/>
            <filter val="2026/01/31"/>
            <filter val="2025/09/05"/>
            <filter val="2025/09/03"/>
            <filter val="2025/09/25"/>
          </filters>
        </filterColumn>
      </autoFilter>
    </customSheetView>
  </customSheetViews>
  <dataValidations>
    <dataValidation type="list" allowBlank="1" sqref="H5:H75">
      <formula1>"未着手,調査中,着手中,確認中,完了,不要"</formula1>
    </dataValidation>
    <dataValidation type="custom" allowBlank="1" showDropDown="1" sqref="J5:K75">
      <formula1>OR(NOT(ISERROR(DATEVALUE(J5))), AND(ISNUMBER(J5), LEFT(CELL("format", J5))="D"))</formula1>
    </dataValidation>
    <dataValidation type="custom" allowBlank="1" showDropDown="1" sqref="L5:M75">
      <formula1>OR(NOT(ISERROR(DATEVALUE(L5))), AND(ISNUMBER(L5), LEFT(CELL("format", L5))="D"))</formula1>
    </dataValidation>
    <dataValidation type="list" allowBlank="1" sqref="I5:I75">
      <formula1>"オンスケ,遅延あり"</formula1>
    </dataValidation>
    <dataValidation allowBlank="1" showDropDown="1" sqref="E5:E75"/>
  </dataValidations>
  <hyperlinks>
    <hyperlink r:id="rId4" ref="G5"/>
    <hyperlink r:id="rId5" ref="G7"/>
    <hyperlink r:id="rId6" ref="G8"/>
    <hyperlink r:id="rId7" ref="G9"/>
    <hyperlink r:id="rId8" ref="G10"/>
    <hyperlink r:id="rId9" ref="G11"/>
    <hyperlink r:id="rId10" ref="G12"/>
    <hyperlink r:id="rId11" location="gid=1224826303&amp;range=B:B" ref="O12"/>
    <hyperlink r:id="rId12" ref="G13"/>
    <hyperlink r:id="rId13" ref="G14"/>
    <hyperlink r:id="rId14" ref="G15"/>
    <hyperlink r:id="rId15" ref="G16"/>
    <hyperlink r:id="rId16" ref="G17"/>
    <hyperlink r:id="rId17" ref="G18"/>
    <hyperlink r:id="rId18" ref="O18"/>
    <hyperlink r:id="rId19" ref="O21"/>
    <hyperlink r:id="rId20" location="gid=755744202" ref="O23"/>
    <hyperlink r:id="rId21" location="slide=id.g383cb365e03_0_2" ref="D35"/>
    <hyperlink r:id="rId22" ref="D36"/>
    <hyperlink r:id="rId23" ref="G36"/>
    <hyperlink r:id="rId24" ref="G37"/>
    <hyperlink r:id="rId25" ref="G38"/>
    <hyperlink r:id="rId26" ref="G41"/>
    <hyperlink r:id="rId27" ref="G45"/>
    <hyperlink r:id="rId28" location="slide=id.p2" ref="D46"/>
    <hyperlink r:id="rId29" ref="G46"/>
    <hyperlink r:id="rId30" ref="E48"/>
    <hyperlink r:id="rId31" ref="G48"/>
    <hyperlink r:id="rId32" ref="G49"/>
    <hyperlink r:id="rId33" ref="G50"/>
    <hyperlink r:id="rId34" ref="G51"/>
    <hyperlink r:id="rId35" ref="G56"/>
    <hyperlink r:id="rId36" ref="G57"/>
    <hyperlink r:id="rId37" ref="G58"/>
    <hyperlink r:id="rId38" ref="G60"/>
    <hyperlink r:id="rId39" ref="G61"/>
    <hyperlink r:id="rId40" ref="G62"/>
    <hyperlink r:id="rId41" ref="O62"/>
    <hyperlink r:id="rId42" ref="G63"/>
    <hyperlink r:id="rId43" ref="G64"/>
    <hyperlink r:id="rId44" ref="O64"/>
    <hyperlink r:id="rId45" location="gid=283878249&amp;range=H90" ref="O66"/>
    <hyperlink r:id="rId46" ref="D67"/>
    <hyperlink r:id="rId47" ref="G69"/>
    <hyperlink r:id="rId48" location="gid=1664234802" ref="C73"/>
  </hyperlinks>
  <drawing r:id="rId49"/>
  <legacyDrawing r:id="rId50"/>
  <tableParts count="2">
    <tablePart r:id="rId53"/>
    <tablePart r:id="rId5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0.5"/>
    <col customWidth="1" min="2" max="2" width="13.88"/>
    <col customWidth="1" min="3" max="3" width="28.13"/>
    <col customWidth="1" min="4" max="4" width="48.38"/>
    <col customWidth="1" min="5" max="5" width="13.75"/>
    <col customWidth="1" min="6" max="6" width="10.5"/>
    <col customWidth="1" min="7" max="8" width="12.25"/>
    <col customWidth="1" min="9" max="9" width="12.13"/>
    <col customWidth="1" min="10" max="10" width="15.0"/>
    <col customWidth="1" min="11" max="14" width="18.75"/>
    <col customWidth="1" min="15" max="15" width="13.63"/>
    <col customWidth="1" min="16" max="16" width="58.88"/>
    <col customWidth="1" min="17" max="19" width="10.25"/>
  </cols>
  <sheetData>
    <row r="1" ht="24.75" customHeight="1">
      <c r="A1" s="19"/>
      <c r="B1" s="19"/>
      <c r="D1" s="20" t="s">
        <v>79</v>
      </c>
      <c r="E1" s="21">
        <f>COUNTIFS(ブレケケ稼働開始_2[開始予定日],"&lt;="&amp;TODAY(),ブレケケ稼働開始_2[状態],"未着手")</f>
        <v>0</v>
      </c>
      <c r="F1" s="22" t="s">
        <v>80</v>
      </c>
      <c r="G1" s="23"/>
      <c r="H1" s="23"/>
      <c r="I1" s="24"/>
      <c r="J1" s="25"/>
      <c r="K1" s="26"/>
      <c r="L1" s="19"/>
      <c r="M1" s="26"/>
      <c r="N1" s="26"/>
      <c r="O1" s="26"/>
      <c r="P1" s="26"/>
      <c r="Q1" s="27"/>
      <c r="R1" s="27"/>
      <c r="S1" s="27"/>
      <c r="AB1" s="9"/>
      <c r="AC1" s="9"/>
      <c r="AD1" s="9"/>
      <c r="AE1" s="9"/>
      <c r="AF1" s="9"/>
      <c r="AG1" s="9"/>
    </row>
    <row r="2" ht="24.75" customHeight="1">
      <c r="A2" s="19"/>
      <c r="B2" s="19"/>
      <c r="D2" s="28" t="s">
        <v>82</v>
      </c>
      <c r="E2" s="29">
        <f>COUNTIFS(ブレケケ稼働開始_2[終了予定日],"&lt;="&amp;Workday(TODAY(),3),ブレケケ稼働開始_2[終了予定日],"&gt;"&amp;TODAY,ブレケケ稼働開始_2[状態],"&lt;&gt;完了")</f>
        <v>0</v>
      </c>
      <c r="F2" s="30" t="s">
        <v>83</v>
      </c>
      <c r="G2" s="31"/>
      <c r="H2" s="31"/>
      <c r="I2" s="32"/>
      <c r="J2" s="33"/>
      <c r="K2" s="26"/>
      <c r="L2" s="19"/>
      <c r="M2" s="26"/>
      <c r="N2" s="26"/>
      <c r="O2" s="26"/>
      <c r="P2" s="26"/>
      <c r="Q2" s="27"/>
      <c r="R2" s="27"/>
      <c r="S2" s="27"/>
      <c r="AB2" s="9"/>
      <c r="AC2" s="9"/>
      <c r="AD2" s="9"/>
      <c r="AE2" s="9"/>
      <c r="AF2" s="9"/>
      <c r="AG2" s="9"/>
    </row>
    <row r="3" ht="24.75" customHeight="1">
      <c r="A3" s="19"/>
      <c r="B3" s="19"/>
      <c r="D3" s="34" t="s">
        <v>85</v>
      </c>
      <c r="E3" s="35">
        <f>COUNTIFS(ブレケケ稼働開始_2[終了予定日],"&lt;="&amp;TODAY(),ブレケケ稼働開始_2[状態],"&lt;&gt;完了")</f>
        <v>0</v>
      </c>
      <c r="F3" s="36" t="s">
        <v>86</v>
      </c>
      <c r="G3" s="37"/>
      <c r="H3" s="37"/>
      <c r="I3" s="38"/>
      <c r="J3" s="39"/>
      <c r="K3" s="26"/>
      <c r="L3" s="19"/>
      <c r="M3" s="26"/>
      <c r="N3" s="26"/>
      <c r="O3" s="26"/>
      <c r="P3" s="26"/>
      <c r="Q3" s="40">
        <f>WORKDAY(today(),3)</f>
        <v>46106</v>
      </c>
      <c r="R3" s="40">
        <f>TODAY()-1</f>
        <v>46102</v>
      </c>
      <c r="S3" s="41">
        <f>TODAY()</f>
        <v>46103</v>
      </c>
      <c r="AB3" s="9"/>
      <c r="AC3" s="9"/>
      <c r="AD3" s="9"/>
      <c r="AE3" s="9"/>
      <c r="AF3" s="9"/>
      <c r="AG3" s="9"/>
    </row>
    <row r="4" ht="24.75" customHeight="1">
      <c r="A4" s="42" t="s">
        <v>87</v>
      </c>
      <c r="B4" s="42" t="s">
        <v>88</v>
      </c>
      <c r="C4" s="42" t="s">
        <v>89</v>
      </c>
      <c r="D4" s="42" t="s">
        <v>90</v>
      </c>
      <c r="E4" s="43" t="s">
        <v>91</v>
      </c>
      <c r="F4" s="43" t="s">
        <v>92</v>
      </c>
      <c r="G4" s="43" t="s">
        <v>93</v>
      </c>
      <c r="H4" s="43" t="s">
        <v>328</v>
      </c>
      <c r="I4" s="43" t="s">
        <v>94</v>
      </c>
      <c r="J4" s="43" t="s">
        <v>95</v>
      </c>
      <c r="K4" s="43" t="s">
        <v>96</v>
      </c>
      <c r="L4" s="43" t="s">
        <v>97</v>
      </c>
      <c r="M4" s="43" t="s">
        <v>98</v>
      </c>
      <c r="N4" s="43" t="s">
        <v>99</v>
      </c>
      <c r="O4" s="43" t="s">
        <v>100</v>
      </c>
      <c r="P4" s="43" t="s">
        <v>5</v>
      </c>
      <c r="Q4" s="44" t="s">
        <v>101</v>
      </c>
      <c r="R4" s="44" t="s">
        <v>102</v>
      </c>
      <c r="S4" s="45" t="s">
        <v>103</v>
      </c>
      <c r="AB4" s="9"/>
      <c r="AC4" s="9"/>
      <c r="AD4" s="9"/>
      <c r="AE4" s="9"/>
      <c r="AF4" s="9"/>
      <c r="AG4" s="9"/>
    </row>
    <row r="5" ht="22.5" customHeight="1">
      <c r="A5" s="93" t="s">
        <v>104</v>
      </c>
      <c r="B5" s="93" t="s">
        <v>329</v>
      </c>
      <c r="C5" s="94" t="s">
        <v>330</v>
      </c>
      <c r="D5" s="95" t="s">
        <v>331</v>
      </c>
      <c r="E5" s="96" t="s">
        <v>332</v>
      </c>
      <c r="F5" s="97" t="s">
        <v>109</v>
      </c>
      <c r="G5" s="98">
        <v>237645.0</v>
      </c>
      <c r="H5" s="99" t="s">
        <v>22</v>
      </c>
      <c r="I5" s="100" t="s">
        <v>22</v>
      </c>
      <c r="J5" s="100"/>
      <c r="K5" s="101">
        <v>46058.0</v>
      </c>
      <c r="L5" s="101">
        <v>46058.0</v>
      </c>
      <c r="M5" s="102">
        <v>46080.0</v>
      </c>
      <c r="N5" s="101"/>
      <c r="O5" s="103"/>
      <c r="P5" s="104" t="s">
        <v>333</v>
      </c>
      <c r="Q5" s="105" t="b">
        <f t="shared" ref="Q5:R5" si="1">IF($M5="","",$M5&lt;Q$3)</f>
        <v>1</v>
      </c>
      <c r="R5" s="105" t="b">
        <f t="shared" si="1"/>
        <v>1</v>
      </c>
      <c r="S5" s="105" t="b">
        <f t="shared" ref="S5:S37" si="3">IF(K5="","",K5&lt;=S$3)</f>
        <v>1</v>
      </c>
    </row>
    <row r="6" ht="22.5" customHeight="1">
      <c r="A6" s="93" t="s">
        <v>104</v>
      </c>
      <c r="B6" s="93" t="s">
        <v>329</v>
      </c>
      <c r="C6" s="106" t="s">
        <v>334</v>
      </c>
      <c r="D6" s="95" t="s">
        <v>335</v>
      </c>
      <c r="E6" s="96" t="s">
        <v>336</v>
      </c>
      <c r="F6" s="97" t="s">
        <v>109</v>
      </c>
      <c r="G6" s="107"/>
      <c r="H6" s="99" t="s">
        <v>22</v>
      </c>
      <c r="I6" s="100" t="s">
        <v>22</v>
      </c>
      <c r="J6" s="100"/>
      <c r="K6" s="101"/>
      <c r="L6" s="101"/>
      <c r="M6" s="102"/>
      <c r="N6" s="101"/>
      <c r="O6" s="103"/>
      <c r="P6" s="108"/>
      <c r="Q6" s="105" t="str">
        <f t="shared" ref="Q6:R6" si="2">IF($M6="","",$M6&lt;Q$3)</f>
        <v/>
      </c>
      <c r="R6" s="105" t="str">
        <f t="shared" si="2"/>
        <v/>
      </c>
      <c r="S6" s="105" t="str">
        <f t="shared" si="3"/>
        <v/>
      </c>
    </row>
    <row r="7" ht="22.5" customHeight="1">
      <c r="A7" s="93" t="s">
        <v>104</v>
      </c>
      <c r="B7" s="93" t="s">
        <v>329</v>
      </c>
      <c r="C7" s="106" t="s">
        <v>337</v>
      </c>
      <c r="D7" s="95" t="s">
        <v>338</v>
      </c>
      <c r="E7" s="96" t="s">
        <v>332</v>
      </c>
      <c r="F7" s="97" t="s">
        <v>131</v>
      </c>
      <c r="G7" s="98">
        <v>237645.0</v>
      </c>
      <c r="H7" s="99" t="s">
        <v>22</v>
      </c>
      <c r="I7" s="100" t="s">
        <v>22</v>
      </c>
      <c r="J7" s="100"/>
      <c r="K7" s="101">
        <v>46064.0</v>
      </c>
      <c r="L7" s="101">
        <v>46064.0</v>
      </c>
      <c r="M7" s="102">
        <v>46080.0</v>
      </c>
      <c r="N7" s="101"/>
      <c r="O7" s="103"/>
      <c r="P7" s="108"/>
      <c r="Q7" s="105" t="b">
        <f t="shared" ref="Q7:R7" si="4">IF($M7="","",$M7&lt;Q$3)</f>
        <v>1</v>
      </c>
      <c r="R7" s="105" t="b">
        <f t="shared" si="4"/>
        <v>1</v>
      </c>
      <c r="S7" s="105" t="b">
        <f t="shared" si="3"/>
        <v>1</v>
      </c>
    </row>
    <row r="8" ht="22.5" customHeight="1">
      <c r="A8" s="93" t="s">
        <v>32</v>
      </c>
      <c r="B8" s="93" t="s">
        <v>329</v>
      </c>
      <c r="C8" s="106" t="s">
        <v>339</v>
      </c>
      <c r="D8" s="95" t="s">
        <v>340</v>
      </c>
      <c r="E8" s="96" t="s">
        <v>332</v>
      </c>
      <c r="F8" s="97" t="s">
        <v>119</v>
      </c>
      <c r="G8" s="98">
        <v>237645.0</v>
      </c>
      <c r="H8" s="99" t="s">
        <v>203</v>
      </c>
      <c r="I8" s="100" t="s">
        <v>203</v>
      </c>
      <c r="J8" s="100"/>
      <c r="K8" s="101">
        <v>46076.0</v>
      </c>
      <c r="L8" s="101"/>
      <c r="M8" s="102"/>
      <c r="N8" s="101"/>
      <c r="O8" s="103"/>
      <c r="P8" s="108" t="s">
        <v>341</v>
      </c>
      <c r="Q8" s="105" t="str">
        <f t="shared" ref="Q8:R8" si="5">IF($M8="","",$M8&lt;Q$3)</f>
        <v/>
      </c>
      <c r="R8" s="105" t="str">
        <f t="shared" si="5"/>
        <v/>
      </c>
      <c r="S8" s="105" t="b">
        <f t="shared" si="3"/>
        <v>1</v>
      </c>
    </row>
    <row r="9" ht="22.5" customHeight="1">
      <c r="A9" s="93" t="s">
        <v>104</v>
      </c>
      <c r="B9" s="93" t="s">
        <v>329</v>
      </c>
      <c r="C9" s="106" t="s">
        <v>337</v>
      </c>
      <c r="D9" s="95" t="s">
        <v>342</v>
      </c>
      <c r="E9" s="96" t="s">
        <v>332</v>
      </c>
      <c r="F9" s="97" t="s">
        <v>109</v>
      </c>
      <c r="G9" s="98">
        <v>237645.0</v>
      </c>
      <c r="H9" s="99" t="s">
        <v>22</v>
      </c>
      <c r="I9" s="100" t="s">
        <v>22</v>
      </c>
      <c r="J9" s="100"/>
      <c r="K9" s="101">
        <v>46064.0</v>
      </c>
      <c r="L9" s="101">
        <v>46064.0</v>
      </c>
      <c r="M9" s="102">
        <v>46080.0</v>
      </c>
      <c r="N9" s="101"/>
      <c r="O9" s="103"/>
      <c r="P9" s="108" t="s">
        <v>343</v>
      </c>
      <c r="Q9" s="105" t="b">
        <f t="shared" ref="Q9:R9" si="6">IF($M9="","",$M9&lt;Q$3)</f>
        <v>1</v>
      </c>
      <c r="R9" s="105" t="b">
        <f t="shared" si="6"/>
        <v>1</v>
      </c>
      <c r="S9" s="105" t="b">
        <f t="shared" si="3"/>
        <v>1</v>
      </c>
    </row>
    <row r="10" ht="22.5" customHeight="1">
      <c r="A10" s="93" t="s">
        <v>32</v>
      </c>
      <c r="B10" s="93" t="s">
        <v>329</v>
      </c>
      <c r="C10" s="106" t="s">
        <v>344</v>
      </c>
      <c r="D10" s="95" t="s">
        <v>345</v>
      </c>
      <c r="E10" s="96" t="s">
        <v>332</v>
      </c>
      <c r="F10" s="97" t="s">
        <v>119</v>
      </c>
      <c r="G10" s="98">
        <v>237645.0</v>
      </c>
      <c r="H10" s="99" t="s">
        <v>22</v>
      </c>
      <c r="I10" s="100" t="s">
        <v>22</v>
      </c>
      <c r="J10" s="100"/>
      <c r="K10" s="101">
        <v>46064.0</v>
      </c>
      <c r="L10" s="101">
        <v>46064.0</v>
      </c>
      <c r="M10" s="102">
        <v>46080.0</v>
      </c>
      <c r="N10" s="101"/>
      <c r="O10" s="103"/>
      <c r="P10" s="108"/>
      <c r="Q10" s="105" t="b">
        <f t="shared" ref="Q10:R10" si="7">IF($M10="","",$M10&lt;Q$3)</f>
        <v>1</v>
      </c>
      <c r="R10" s="105" t="b">
        <f t="shared" si="7"/>
        <v>1</v>
      </c>
      <c r="S10" s="105" t="b">
        <f t="shared" si="3"/>
        <v>1</v>
      </c>
    </row>
    <row r="11" ht="22.5" customHeight="1">
      <c r="A11" s="93" t="s">
        <v>104</v>
      </c>
      <c r="B11" s="93" t="s">
        <v>329</v>
      </c>
      <c r="C11" s="106" t="s">
        <v>344</v>
      </c>
      <c r="D11" s="95" t="s">
        <v>346</v>
      </c>
      <c r="E11" s="96" t="s">
        <v>347</v>
      </c>
      <c r="F11" s="97" t="s">
        <v>131</v>
      </c>
      <c r="G11" s="98">
        <v>245082.0</v>
      </c>
      <c r="H11" s="99" t="s">
        <v>228</v>
      </c>
      <c r="I11" s="109" t="s">
        <v>271</v>
      </c>
      <c r="J11" s="100"/>
      <c r="K11" s="101"/>
      <c r="L11" s="101"/>
      <c r="M11" s="102">
        <v>46129.0</v>
      </c>
      <c r="N11" s="101"/>
      <c r="O11" s="103"/>
      <c r="P11" s="104" t="s">
        <v>348</v>
      </c>
      <c r="Q11" s="105" t="b">
        <f t="shared" ref="Q11:R11" si="8">IF($M11="","",$M11&lt;Q$3)</f>
        <v>0</v>
      </c>
      <c r="R11" s="105" t="b">
        <f t="shared" si="8"/>
        <v>0</v>
      </c>
      <c r="S11" s="105" t="str">
        <f t="shared" si="3"/>
        <v/>
      </c>
    </row>
    <row r="12" ht="22.5" customHeight="1">
      <c r="A12" s="93" t="s">
        <v>104</v>
      </c>
      <c r="B12" s="93" t="s">
        <v>329</v>
      </c>
      <c r="C12" s="94" t="s">
        <v>349</v>
      </c>
      <c r="D12" s="95" t="s">
        <v>350</v>
      </c>
      <c r="E12" s="96" t="s">
        <v>351</v>
      </c>
      <c r="F12" s="97" t="s">
        <v>109</v>
      </c>
      <c r="G12" s="98">
        <v>237645.0</v>
      </c>
      <c r="H12" s="99" t="s">
        <v>22</v>
      </c>
      <c r="I12" s="100" t="s">
        <v>22</v>
      </c>
      <c r="J12" s="100"/>
      <c r="K12" s="101"/>
      <c r="L12" s="101"/>
      <c r="M12" s="102"/>
      <c r="N12" s="101"/>
      <c r="O12" s="103"/>
      <c r="P12" s="104" t="s">
        <v>352</v>
      </c>
      <c r="Q12" s="105" t="str">
        <f t="shared" ref="Q12:R12" si="9">IF($M12="","",$M12&lt;Q$3)</f>
        <v/>
      </c>
      <c r="R12" s="105" t="str">
        <f t="shared" si="9"/>
        <v/>
      </c>
      <c r="S12" s="105" t="str">
        <f t="shared" si="3"/>
        <v/>
      </c>
    </row>
    <row r="13" ht="22.5" customHeight="1">
      <c r="A13" s="93" t="s">
        <v>104</v>
      </c>
      <c r="B13" s="93" t="s">
        <v>329</v>
      </c>
      <c r="C13" s="106" t="s">
        <v>353</v>
      </c>
      <c r="D13" s="95"/>
      <c r="E13" s="96"/>
      <c r="F13" s="97"/>
      <c r="G13" s="107"/>
      <c r="H13" s="99" t="s">
        <v>22</v>
      </c>
      <c r="I13" s="109" t="s">
        <v>22</v>
      </c>
      <c r="J13" s="100"/>
      <c r="K13" s="101">
        <v>46080.0</v>
      </c>
      <c r="L13" s="101">
        <v>46080.0</v>
      </c>
      <c r="M13" s="102">
        <v>46080.0</v>
      </c>
      <c r="N13" s="101"/>
      <c r="O13" s="103"/>
      <c r="P13" s="108"/>
      <c r="Q13" s="105" t="b">
        <f t="shared" ref="Q13:R13" si="10">IF($M13="","",$M13&lt;Q$3)</f>
        <v>1</v>
      </c>
      <c r="R13" s="105" t="b">
        <f t="shared" si="10"/>
        <v>1</v>
      </c>
      <c r="S13" s="105" t="b">
        <f t="shared" si="3"/>
        <v>1</v>
      </c>
    </row>
    <row r="14" ht="22.5" customHeight="1">
      <c r="A14" s="93"/>
      <c r="B14" s="93"/>
      <c r="C14" s="106"/>
      <c r="D14" s="95"/>
      <c r="E14" s="96"/>
      <c r="F14" s="97"/>
      <c r="G14" s="107"/>
      <c r="H14" s="99"/>
      <c r="I14" s="100"/>
      <c r="J14" s="100"/>
      <c r="K14" s="101"/>
      <c r="L14" s="101"/>
      <c r="M14" s="102"/>
      <c r="N14" s="101"/>
      <c r="O14" s="103"/>
      <c r="P14" s="108"/>
      <c r="Q14" s="105" t="str">
        <f t="shared" ref="Q14:R14" si="11">IF($M14="","",$M14&lt;Q$3)</f>
        <v/>
      </c>
      <c r="R14" s="105" t="str">
        <f t="shared" si="11"/>
        <v/>
      </c>
      <c r="S14" s="105" t="str">
        <f t="shared" si="3"/>
        <v/>
      </c>
    </row>
    <row r="15" ht="22.5" customHeight="1">
      <c r="A15" s="93"/>
      <c r="B15" s="93"/>
      <c r="C15" s="106"/>
      <c r="D15" s="95"/>
      <c r="E15" s="96"/>
      <c r="F15" s="97"/>
      <c r="G15" s="107"/>
      <c r="H15" s="99"/>
      <c r="I15" s="100"/>
      <c r="J15" s="100"/>
      <c r="K15" s="101"/>
      <c r="L15" s="101"/>
      <c r="M15" s="102"/>
      <c r="N15" s="101"/>
      <c r="O15" s="103"/>
      <c r="P15" s="108"/>
      <c r="Q15" s="105" t="str">
        <f t="shared" ref="Q15:R15" si="12">IF($M15="","",$M15&lt;Q$3)</f>
        <v/>
      </c>
      <c r="R15" s="105" t="str">
        <f t="shared" si="12"/>
        <v/>
      </c>
      <c r="S15" s="105" t="str">
        <f t="shared" si="3"/>
        <v/>
      </c>
    </row>
    <row r="16" ht="22.5" customHeight="1">
      <c r="A16" s="93"/>
      <c r="B16" s="93"/>
      <c r="C16" s="106"/>
      <c r="D16" s="95"/>
      <c r="E16" s="96"/>
      <c r="F16" s="97"/>
      <c r="G16" s="107"/>
      <c r="H16" s="99"/>
      <c r="I16" s="100"/>
      <c r="J16" s="100"/>
      <c r="K16" s="101"/>
      <c r="L16" s="101"/>
      <c r="M16" s="102"/>
      <c r="N16" s="101"/>
      <c r="O16" s="103"/>
      <c r="P16" s="108"/>
      <c r="Q16" s="105" t="str">
        <f t="shared" ref="Q16:R16" si="13">IF($M16="","",$M16&lt;Q$3)</f>
        <v/>
      </c>
      <c r="R16" s="105" t="str">
        <f t="shared" si="13"/>
        <v/>
      </c>
      <c r="S16" s="105" t="str">
        <f t="shared" si="3"/>
        <v/>
      </c>
    </row>
    <row r="17" ht="22.5" customHeight="1">
      <c r="A17" s="93"/>
      <c r="B17" s="93"/>
      <c r="C17" s="106"/>
      <c r="D17" s="95"/>
      <c r="E17" s="96"/>
      <c r="F17" s="97"/>
      <c r="G17" s="107"/>
      <c r="H17" s="99"/>
      <c r="I17" s="100"/>
      <c r="J17" s="100"/>
      <c r="K17" s="101"/>
      <c r="L17" s="101"/>
      <c r="M17" s="102"/>
      <c r="N17" s="101"/>
      <c r="O17" s="103"/>
      <c r="P17" s="108"/>
      <c r="Q17" s="105" t="str">
        <f t="shared" ref="Q17:R17" si="14">IF($M17="","",$M17&lt;Q$3)</f>
        <v/>
      </c>
      <c r="R17" s="105" t="str">
        <f t="shared" si="14"/>
        <v/>
      </c>
      <c r="S17" s="105" t="str">
        <f t="shared" si="3"/>
        <v/>
      </c>
    </row>
    <row r="18" ht="22.5" customHeight="1">
      <c r="A18" s="93"/>
      <c r="B18" s="93"/>
      <c r="C18" s="106"/>
      <c r="D18" s="95"/>
      <c r="E18" s="96"/>
      <c r="F18" s="97"/>
      <c r="G18" s="107"/>
      <c r="H18" s="99"/>
      <c r="I18" s="100"/>
      <c r="J18" s="100"/>
      <c r="K18" s="101"/>
      <c r="L18" s="101"/>
      <c r="M18" s="102"/>
      <c r="N18" s="101"/>
      <c r="O18" s="103"/>
      <c r="P18" s="108"/>
      <c r="Q18" s="105" t="str">
        <f t="shared" ref="Q18:R18" si="15">IF($M18="","",$M18&lt;Q$3)</f>
        <v/>
      </c>
      <c r="R18" s="105" t="str">
        <f t="shared" si="15"/>
        <v/>
      </c>
      <c r="S18" s="105" t="str">
        <f t="shared" si="3"/>
        <v/>
      </c>
    </row>
    <row r="19" ht="22.5" customHeight="1">
      <c r="A19" s="93"/>
      <c r="B19" s="93"/>
      <c r="C19" s="106"/>
      <c r="D19" s="95"/>
      <c r="E19" s="96"/>
      <c r="F19" s="97"/>
      <c r="G19" s="107"/>
      <c r="H19" s="99"/>
      <c r="I19" s="100"/>
      <c r="J19" s="100"/>
      <c r="K19" s="101"/>
      <c r="L19" s="101"/>
      <c r="M19" s="102"/>
      <c r="N19" s="101"/>
      <c r="O19" s="103"/>
      <c r="P19" s="108"/>
      <c r="Q19" s="105" t="str">
        <f t="shared" ref="Q19:R19" si="16">IF($M19="","",$M19&lt;Q$3)</f>
        <v/>
      </c>
      <c r="R19" s="105" t="str">
        <f t="shared" si="16"/>
        <v/>
      </c>
      <c r="S19" s="105" t="str">
        <f t="shared" si="3"/>
        <v/>
      </c>
    </row>
    <row r="20" ht="22.5" customHeight="1">
      <c r="A20" s="93"/>
      <c r="B20" s="93"/>
      <c r="C20" s="106"/>
      <c r="D20" s="95"/>
      <c r="E20" s="96"/>
      <c r="F20" s="97"/>
      <c r="G20" s="107"/>
      <c r="H20" s="99"/>
      <c r="I20" s="100"/>
      <c r="J20" s="100"/>
      <c r="K20" s="101"/>
      <c r="L20" s="101"/>
      <c r="M20" s="102"/>
      <c r="N20" s="101"/>
      <c r="O20" s="103"/>
      <c r="P20" s="108"/>
      <c r="Q20" s="105" t="str">
        <f t="shared" ref="Q20:R20" si="17">IF($M20="","",$M20&lt;Q$3)</f>
        <v/>
      </c>
      <c r="R20" s="105" t="str">
        <f t="shared" si="17"/>
        <v/>
      </c>
      <c r="S20" s="105" t="str">
        <f t="shared" si="3"/>
        <v/>
      </c>
    </row>
    <row r="21" ht="22.5" customHeight="1">
      <c r="A21" s="93"/>
      <c r="B21" s="93"/>
      <c r="C21" s="106"/>
      <c r="D21" s="95"/>
      <c r="E21" s="96"/>
      <c r="F21" s="97"/>
      <c r="G21" s="107"/>
      <c r="H21" s="99"/>
      <c r="I21" s="100"/>
      <c r="J21" s="100"/>
      <c r="K21" s="101"/>
      <c r="L21" s="101"/>
      <c r="M21" s="102"/>
      <c r="N21" s="101"/>
      <c r="O21" s="103"/>
      <c r="P21" s="108"/>
      <c r="Q21" s="105" t="str">
        <f t="shared" ref="Q21:R21" si="18">IF($M21="","",$M21&lt;Q$3)</f>
        <v/>
      </c>
      <c r="R21" s="105" t="str">
        <f t="shared" si="18"/>
        <v/>
      </c>
      <c r="S21" s="105" t="str">
        <f t="shared" si="3"/>
        <v/>
      </c>
    </row>
    <row r="22" ht="22.5" customHeight="1">
      <c r="A22" s="93"/>
      <c r="B22" s="93"/>
      <c r="C22" s="106"/>
      <c r="D22" s="95"/>
      <c r="E22" s="96"/>
      <c r="F22" s="97"/>
      <c r="G22" s="107"/>
      <c r="H22" s="99"/>
      <c r="I22" s="100"/>
      <c r="J22" s="100"/>
      <c r="K22" s="101"/>
      <c r="L22" s="101"/>
      <c r="M22" s="102"/>
      <c r="N22" s="101"/>
      <c r="O22" s="103"/>
      <c r="P22" s="108"/>
      <c r="Q22" s="105" t="str">
        <f t="shared" ref="Q22:R22" si="19">IF($M22="","",$M22&lt;Q$3)</f>
        <v/>
      </c>
      <c r="R22" s="105" t="str">
        <f t="shared" si="19"/>
        <v/>
      </c>
      <c r="S22" s="105" t="str">
        <f t="shared" si="3"/>
        <v/>
      </c>
    </row>
    <row r="23" ht="22.5" customHeight="1">
      <c r="A23" s="93"/>
      <c r="B23" s="93"/>
      <c r="C23" s="106"/>
      <c r="D23" s="95"/>
      <c r="E23" s="96"/>
      <c r="F23" s="97"/>
      <c r="G23" s="107"/>
      <c r="H23" s="99"/>
      <c r="I23" s="100"/>
      <c r="J23" s="100"/>
      <c r="K23" s="101"/>
      <c r="L23" s="101"/>
      <c r="M23" s="102"/>
      <c r="N23" s="101"/>
      <c r="O23" s="103"/>
      <c r="P23" s="108"/>
      <c r="Q23" s="105" t="str">
        <f t="shared" ref="Q23:R23" si="20">IF($M23="","",$M23&lt;Q$3)</f>
        <v/>
      </c>
      <c r="R23" s="105" t="str">
        <f t="shared" si="20"/>
        <v/>
      </c>
      <c r="S23" s="105" t="str">
        <f t="shared" si="3"/>
        <v/>
      </c>
    </row>
    <row r="24" ht="22.5" customHeight="1">
      <c r="A24" s="93"/>
      <c r="B24" s="93"/>
      <c r="C24" s="106"/>
      <c r="D24" s="95"/>
      <c r="E24" s="96"/>
      <c r="F24" s="97"/>
      <c r="G24" s="107"/>
      <c r="H24" s="99"/>
      <c r="I24" s="100"/>
      <c r="J24" s="100"/>
      <c r="K24" s="101"/>
      <c r="L24" s="101"/>
      <c r="M24" s="102"/>
      <c r="N24" s="101"/>
      <c r="O24" s="103"/>
      <c r="P24" s="108"/>
      <c r="Q24" s="105" t="str">
        <f t="shared" ref="Q24:R24" si="21">IF($M24="","",$M24&lt;Q$3)</f>
        <v/>
      </c>
      <c r="R24" s="105" t="str">
        <f t="shared" si="21"/>
        <v/>
      </c>
      <c r="S24" s="105" t="str">
        <f t="shared" si="3"/>
        <v/>
      </c>
    </row>
    <row r="25" ht="22.5" customHeight="1">
      <c r="A25" s="93"/>
      <c r="B25" s="93"/>
      <c r="C25" s="106"/>
      <c r="D25" s="95"/>
      <c r="E25" s="96"/>
      <c r="F25" s="97"/>
      <c r="G25" s="107"/>
      <c r="H25" s="99"/>
      <c r="I25" s="100"/>
      <c r="J25" s="100"/>
      <c r="K25" s="101"/>
      <c r="L25" s="101"/>
      <c r="M25" s="102"/>
      <c r="N25" s="101"/>
      <c r="O25" s="103"/>
      <c r="P25" s="108"/>
      <c r="Q25" s="105" t="str">
        <f t="shared" ref="Q25:R25" si="22">IF($M25="","",$M25&lt;Q$3)</f>
        <v/>
      </c>
      <c r="R25" s="105" t="str">
        <f t="shared" si="22"/>
        <v/>
      </c>
      <c r="S25" s="105" t="str">
        <f t="shared" si="3"/>
        <v/>
      </c>
    </row>
    <row r="26" ht="22.5" customHeight="1">
      <c r="A26" s="93"/>
      <c r="B26" s="93"/>
      <c r="C26" s="106"/>
      <c r="D26" s="95"/>
      <c r="E26" s="96"/>
      <c r="F26" s="97"/>
      <c r="G26" s="107"/>
      <c r="H26" s="99"/>
      <c r="I26" s="100"/>
      <c r="J26" s="100"/>
      <c r="K26" s="101"/>
      <c r="L26" s="101"/>
      <c r="M26" s="102"/>
      <c r="N26" s="101"/>
      <c r="O26" s="103"/>
      <c r="P26" s="108"/>
      <c r="Q26" s="105" t="str">
        <f t="shared" ref="Q26:R26" si="23">IF($M26="","",$M26&lt;Q$3)</f>
        <v/>
      </c>
      <c r="R26" s="105" t="str">
        <f t="shared" si="23"/>
        <v/>
      </c>
      <c r="S26" s="105" t="str">
        <f t="shared" si="3"/>
        <v/>
      </c>
    </row>
    <row r="27" ht="22.5" customHeight="1">
      <c r="A27" s="93"/>
      <c r="B27" s="93"/>
      <c r="C27" s="106"/>
      <c r="D27" s="95"/>
      <c r="E27" s="96"/>
      <c r="F27" s="97"/>
      <c r="G27" s="107"/>
      <c r="H27" s="99"/>
      <c r="I27" s="100"/>
      <c r="J27" s="100"/>
      <c r="K27" s="101"/>
      <c r="L27" s="101"/>
      <c r="M27" s="102"/>
      <c r="N27" s="101"/>
      <c r="O27" s="103"/>
      <c r="P27" s="108"/>
      <c r="Q27" s="105" t="str">
        <f t="shared" ref="Q27:R27" si="24">IF($M27="","",$M27&lt;Q$3)</f>
        <v/>
      </c>
      <c r="R27" s="105" t="str">
        <f t="shared" si="24"/>
        <v/>
      </c>
      <c r="S27" s="105" t="str">
        <f t="shared" si="3"/>
        <v/>
      </c>
    </row>
    <row r="28" ht="22.5" customHeight="1">
      <c r="A28" s="93"/>
      <c r="B28" s="93"/>
      <c r="C28" s="106"/>
      <c r="D28" s="95"/>
      <c r="E28" s="96"/>
      <c r="F28" s="97"/>
      <c r="G28" s="107"/>
      <c r="H28" s="99"/>
      <c r="I28" s="100"/>
      <c r="J28" s="100"/>
      <c r="K28" s="101"/>
      <c r="L28" s="101"/>
      <c r="M28" s="102"/>
      <c r="N28" s="101"/>
      <c r="O28" s="103"/>
      <c r="P28" s="108"/>
      <c r="Q28" s="105" t="str">
        <f t="shared" ref="Q28:R28" si="25">IF($M28="","",$M28&lt;Q$3)</f>
        <v/>
      </c>
      <c r="R28" s="105" t="str">
        <f t="shared" si="25"/>
        <v/>
      </c>
      <c r="S28" s="105" t="str">
        <f t="shared" si="3"/>
        <v/>
      </c>
    </row>
    <row r="29" ht="22.5" customHeight="1">
      <c r="A29" s="93"/>
      <c r="B29" s="93"/>
      <c r="C29" s="106"/>
      <c r="D29" s="95"/>
      <c r="E29" s="96"/>
      <c r="F29" s="97"/>
      <c r="G29" s="107"/>
      <c r="H29" s="99"/>
      <c r="I29" s="100"/>
      <c r="J29" s="100"/>
      <c r="K29" s="101"/>
      <c r="L29" s="101"/>
      <c r="M29" s="102"/>
      <c r="N29" s="101"/>
      <c r="O29" s="103"/>
      <c r="P29" s="108"/>
      <c r="Q29" s="105" t="str">
        <f t="shared" ref="Q29:R29" si="26">IF($M29="","",$M29&lt;Q$3)</f>
        <v/>
      </c>
      <c r="R29" s="105" t="str">
        <f t="shared" si="26"/>
        <v/>
      </c>
      <c r="S29" s="105" t="str">
        <f t="shared" si="3"/>
        <v/>
      </c>
    </row>
    <row r="30" ht="22.5" customHeight="1">
      <c r="A30" s="93"/>
      <c r="B30" s="93"/>
      <c r="C30" s="106"/>
      <c r="D30" s="95"/>
      <c r="E30" s="96"/>
      <c r="F30" s="97"/>
      <c r="G30" s="107"/>
      <c r="H30" s="99"/>
      <c r="I30" s="100"/>
      <c r="J30" s="100"/>
      <c r="K30" s="101"/>
      <c r="L30" s="101"/>
      <c r="M30" s="102"/>
      <c r="N30" s="101"/>
      <c r="O30" s="103"/>
      <c r="P30" s="108"/>
      <c r="Q30" s="105" t="str">
        <f t="shared" ref="Q30:R30" si="27">IF($M30="","",$M30&lt;Q$3)</f>
        <v/>
      </c>
      <c r="R30" s="105" t="str">
        <f t="shared" si="27"/>
        <v/>
      </c>
      <c r="S30" s="105" t="str">
        <f t="shared" si="3"/>
        <v/>
      </c>
    </row>
    <row r="31" ht="22.5" customHeight="1">
      <c r="A31" s="93"/>
      <c r="B31" s="93"/>
      <c r="C31" s="106"/>
      <c r="D31" s="95"/>
      <c r="E31" s="96"/>
      <c r="F31" s="97"/>
      <c r="G31" s="107"/>
      <c r="H31" s="99"/>
      <c r="I31" s="100"/>
      <c r="J31" s="100"/>
      <c r="K31" s="101"/>
      <c r="L31" s="101"/>
      <c r="M31" s="102"/>
      <c r="N31" s="101"/>
      <c r="O31" s="103"/>
      <c r="P31" s="108"/>
      <c r="Q31" s="105" t="str">
        <f t="shared" ref="Q31:R31" si="28">IF($M31="","",$M31&lt;Q$3)</f>
        <v/>
      </c>
      <c r="R31" s="105" t="str">
        <f t="shared" si="28"/>
        <v/>
      </c>
      <c r="S31" s="105" t="str">
        <f t="shared" si="3"/>
        <v/>
      </c>
    </row>
    <row r="32" ht="22.5" customHeight="1">
      <c r="A32" s="93"/>
      <c r="B32" s="93"/>
      <c r="C32" s="106"/>
      <c r="D32" s="95"/>
      <c r="E32" s="96"/>
      <c r="F32" s="97"/>
      <c r="G32" s="107"/>
      <c r="H32" s="99"/>
      <c r="I32" s="100"/>
      <c r="J32" s="100"/>
      <c r="K32" s="101"/>
      <c r="L32" s="101"/>
      <c r="M32" s="102"/>
      <c r="N32" s="101"/>
      <c r="O32" s="103"/>
      <c r="P32" s="108"/>
      <c r="Q32" s="105" t="str">
        <f t="shared" ref="Q32:R32" si="29">IF($M32="","",$M32&lt;Q$3)</f>
        <v/>
      </c>
      <c r="R32" s="105" t="str">
        <f t="shared" si="29"/>
        <v/>
      </c>
      <c r="S32" s="105" t="str">
        <f t="shared" si="3"/>
        <v/>
      </c>
    </row>
    <row r="33" ht="22.5" customHeight="1">
      <c r="A33" s="93"/>
      <c r="B33" s="93"/>
      <c r="C33" s="106"/>
      <c r="D33" s="95"/>
      <c r="E33" s="96"/>
      <c r="F33" s="97"/>
      <c r="G33" s="107"/>
      <c r="H33" s="99"/>
      <c r="I33" s="100"/>
      <c r="J33" s="100"/>
      <c r="K33" s="101"/>
      <c r="L33" s="101"/>
      <c r="M33" s="102"/>
      <c r="N33" s="101"/>
      <c r="O33" s="103"/>
      <c r="P33" s="108"/>
      <c r="Q33" s="105" t="str">
        <f t="shared" ref="Q33:R33" si="30">IF($M33="","",$M33&lt;Q$3)</f>
        <v/>
      </c>
      <c r="R33" s="105" t="str">
        <f t="shared" si="30"/>
        <v/>
      </c>
      <c r="S33" s="105" t="str">
        <f t="shared" si="3"/>
        <v/>
      </c>
    </row>
    <row r="34" ht="22.5" customHeight="1">
      <c r="A34" s="93"/>
      <c r="B34" s="93"/>
      <c r="C34" s="106"/>
      <c r="D34" s="95"/>
      <c r="E34" s="96"/>
      <c r="F34" s="97"/>
      <c r="G34" s="107"/>
      <c r="H34" s="99"/>
      <c r="I34" s="100"/>
      <c r="J34" s="100"/>
      <c r="K34" s="101"/>
      <c r="L34" s="101"/>
      <c r="M34" s="102"/>
      <c r="N34" s="101"/>
      <c r="O34" s="103"/>
      <c r="P34" s="108"/>
      <c r="Q34" s="105" t="str">
        <f t="shared" ref="Q34:R34" si="31">IF($M34="","",$M34&lt;Q$3)</f>
        <v/>
      </c>
      <c r="R34" s="105" t="str">
        <f t="shared" si="31"/>
        <v/>
      </c>
      <c r="S34" s="105" t="str">
        <f t="shared" si="3"/>
        <v/>
      </c>
    </row>
    <row r="35" ht="22.5" customHeight="1">
      <c r="A35" s="93"/>
      <c r="B35" s="93"/>
      <c r="C35" s="106"/>
      <c r="D35" s="95"/>
      <c r="E35" s="96"/>
      <c r="F35" s="97"/>
      <c r="G35" s="107"/>
      <c r="H35" s="99"/>
      <c r="I35" s="100"/>
      <c r="J35" s="100"/>
      <c r="K35" s="101"/>
      <c r="L35" s="101"/>
      <c r="M35" s="102"/>
      <c r="N35" s="101"/>
      <c r="O35" s="103"/>
      <c r="P35" s="108"/>
      <c r="Q35" s="105" t="str">
        <f t="shared" ref="Q35:R35" si="32">IF($M35="","",$M35&lt;Q$3)</f>
        <v/>
      </c>
      <c r="R35" s="105" t="str">
        <f t="shared" si="32"/>
        <v/>
      </c>
      <c r="S35" s="105" t="str">
        <f t="shared" si="3"/>
        <v/>
      </c>
    </row>
    <row r="36" ht="22.5" customHeight="1">
      <c r="A36" s="93"/>
      <c r="B36" s="93"/>
      <c r="C36" s="106"/>
      <c r="D36" s="95"/>
      <c r="E36" s="96"/>
      <c r="F36" s="97"/>
      <c r="G36" s="107"/>
      <c r="H36" s="99"/>
      <c r="I36" s="100"/>
      <c r="J36" s="100"/>
      <c r="K36" s="101"/>
      <c r="L36" s="101"/>
      <c r="M36" s="102"/>
      <c r="N36" s="101"/>
      <c r="O36" s="103"/>
      <c r="P36" s="108"/>
      <c r="Q36" s="105" t="str">
        <f t="shared" ref="Q36:R36" si="33">IF($M36="","",$M36&lt;Q$3)</f>
        <v/>
      </c>
      <c r="R36" s="105" t="str">
        <f t="shared" si="33"/>
        <v/>
      </c>
      <c r="S36" s="105" t="str">
        <f t="shared" si="3"/>
        <v/>
      </c>
    </row>
    <row r="37" ht="22.5" customHeight="1">
      <c r="A37" s="93"/>
      <c r="B37" s="93"/>
      <c r="C37" s="106"/>
      <c r="D37" s="95"/>
      <c r="E37" s="96"/>
      <c r="F37" s="97"/>
      <c r="G37" s="107"/>
      <c r="H37" s="99"/>
      <c r="I37" s="100"/>
      <c r="J37" s="100"/>
      <c r="K37" s="101"/>
      <c r="L37" s="101"/>
      <c r="M37" s="102"/>
      <c r="N37" s="101"/>
      <c r="O37" s="103"/>
      <c r="P37" s="108"/>
      <c r="Q37" s="105" t="str">
        <f t="shared" ref="Q37:R37" si="34">IF($M37="","",$M37&lt;Q$3)</f>
        <v/>
      </c>
      <c r="R37" s="105" t="str">
        <f t="shared" si="34"/>
        <v/>
      </c>
      <c r="S37" s="105" t="str">
        <f t="shared" si="3"/>
        <v/>
      </c>
    </row>
    <row r="38" ht="22.5" customHeight="1">
      <c r="A38" s="93"/>
      <c r="B38" s="93"/>
      <c r="C38" s="106"/>
      <c r="D38" s="95"/>
      <c r="E38" s="96"/>
      <c r="F38" s="97"/>
      <c r="G38" s="107"/>
      <c r="H38" s="99"/>
      <c r="I38" s="100"/>
      <c r="J38" s="100"/>
      <c r="K38" s="101"/>
      <c r="L38" s="101"/>
      <c r="M38" s="102"/>
      <c r="N38" s="101"/>
      <c r="O38" s="103"/>
      <c r="P38" s="108"/>
      <c r="Q38" s="105"/>
      <c r="R38" s="105"/>
      <c r="S38" s="105"/>
    </row>
    <row r="39" ht="22.5" customHeight="1">
      <c r="A39" s="93"/>
      <c r="B39" s="93"/>
      <c r="C39" s="106"/>
      <c r="D39" s="95"/>
      <c r="E39" s="96"/>
      <c r="F39" s="97"/>
      <c r="G39" s="107"/>
      <c r="H39" s="99"/>
      <c r="I39" s="100"/>
      <c r="J39" s="100"/>
      <c r="K39" s="101"/>
      <c r="L39" s="101"/>
      <c r="M39" s="102"/>
      <c r="N39" s="101"/>
      <c r="O39" s="103"/>
      <c r="P39" s="108"/>
      <c r="Q39" s="105" t="str">
        <f t="shared" ref="Q39:R39" si="35">IF($M39="","",$M39&lt;Q$3)</f>
        <v/>
      </c>
      <c r="R39" s="105" t="str">
        <f t="shared" si="35"/>
        <v/>
      </c>
      <c r="S39" s="105" t="str">
        <f>IF(K39="","",K39&lt;=S$3)</f>
        <v/>
      </c>
    </row>
    <row r="40" ht="22.5" customHeight="1">
      <c r="A40" s="93"/>
      <c r="B40" s="93"/>
      <c r="C40" s="106"/>
      <c r="D40" s="95"/>
      <c r="E40" s="96"/>
      <c r="F40" s="97"/>
      <c r="G40" s="107"/>
      <c r="H40" s="99"/>
      <c r="I40" s="100"/>
      <c r="J40" s="100"/>
      <c r="K40" s="101"/>
      <c r="L40" s="101"/>
      <c r="M40" s="102"/>
      <c r="N40" s="101"/>
      <c r="O40" s="103"/>
      <c r="P40" s="108"/>
      <c r="Q40" s="105"/>
      <c r="R40" s="105"/>
      <c r="S40" s="105"/>
    </row>
    <row r="41" ht="22.5" customHeight="1">
      <c r="A41" s="93"/>
      <c r="B41" s="93"/>
      <c r="C41" s="106"/>
      <c r="D41" s="95"/>
      <c r="E41" s="96"/>
      <c r="F41" s="97"/>
      <c r="G41" s="107"/>
      <c r="H41" s="99"/>
      <c r="I41" s="100"/>
      <c r="J41" s="100"/>
      <c r="K41" s="101"/>
      <c r="L41" s="101"/>
      <c r="M41" s="102"/>
      <c r="N41" s="101"/>
      <c r="O41" s="103"/>
      <c r="P41" s="108"/>
      <c r="Q41" s="105"/>
      <c r="R41" s="105"/>
      <c r="S41" s="105"/>
    </row>
    <row r="42" ht="22.5" customHeight="1">
      <c r="A42" s="93"/>
      <c r="B42" s="93"/>
      <c r="C42" s="106"/>
      <c r="D42" s="95"/>
      <c r="E42" s="96"/>
      <c r="F42" s="97"/>
      <c r="G42" s="107"/>
      <c r="H42" s="99"/>
      <c r="I42" s="100"/>
      <c r="J42" s="100"/>
      <c r="K42" s="101"/>
      <c r="L42" s="101"/>
      <c r="M42" s="102"/>
      <c r="N42" s="101"/>
      <c r="O42" s="103"/>
      <c r="P42" s="108"/>
      <c r="Q42" s="105"/>
      <c r="R42" s="105"/>
      <c r="S42" s="105"/>
    </row>
    <row r="43" ht="22.5" customHeight="1">
      <c r="A43" s="93"/>
      <c r="B43" s="93"/>
      <c r="C43" s="106"/>
      <c r="D43" s="95"/>
      <c r="E43" s="96"/>
      <c r="F43" s="97"/>
      <c r="G43" s="107"/>
      <c r="H43" s="99"/>
      <c r="I43" s="100"/>
      <c r="J43" s="100"/>
      <c r="K43" s="101"/>
      <c r="L43" s="101"/>
      <c r="M43" s="102"/>
      <c r="N43" s="101"/>
      <c r="O43" s="103"/>
      <c r="P43" s="108"/>
      <c r="Q43" s="105" t="str">
        <f t="shared" ref="Q43:R43" si="36">IF($M43="","",$M43&lt;Q$3)</f>
        <v/>
      </c>
      <c r="R43" s="105" t="str">
        <f t="shared" si="36"/>
        <v/>
      </c>
      <c r="S43" s="105" t="str">
        <f>IF(K43="","",K43&lt;=S$3)</f>
        <v/>
      </c>
    </row>
    <row r="44" ht="22.5" customHeight="1">
      <c r="A44" s="93"/>
      <c r="B44" s="93"/>
      <c r="C44" s="106"/>
      <c r="D44" s="95"/>
      <c r="E44" s="96"/>
      <c r="F44" s="97"/>
      <c r="G44" s="107"/>
      <c r="H44" s="99"/>
      <c r="I44" s="100"/>
      <c r="J44" s="100"/>
      <c r="K44" s="101"/>
      <c r="L44" s="101"/>
      <c r="M44" s="102"/>
      <c r="N44" s="101"/>
      <c r="O44" s="103"/>
      <c r="P44" s="108"/>
      <c r="Q44" s="105"/>
      <c r="R44" s="105"/>
      <c r="S44" s="105"/>
    </row>
    <row r="45" ht="22.5" customHeight="1">
      <c r="A45" s="93"/>
      <c r="B45" s="93"/>
      <c r="C45" s="106"/>
      <c r="D45" s="95"/>
      <c r="E45" s="96"/>
      <c r="F45" s="97"/>
      <c r="G45" s="107"/>
      <c r="H45" s="99"/>
      <c r="I45" s="100"/>
      <c r="J45" s="100"/>
      <c r="K45" s="101"/>
      <c r="L45" s="101"/>
      <c r="M45" s="102"/>
      <c r="N45" s="101"/>
      <c r="O45" s="103"/>
      <c r="P45" s="108"/>
      <c r="Q45" s="105" t="str">
        <f t="shared" ref="Q45:R45" si="37">IF($M45="","",$M45&lt;Q$3)</f>
        <v/>
      </c>
      <c r="R45" s="105" t="str">
        <f t="shared" si="37"/>
        <v/>
      </c>
      <c r="S45" s="105" t="str">
        <f>IF(K45="","",K45&lt;=S$3)</f>
        <v/>
      </c>
    </row>
    <row r="46" ht="22.5" customHeight="1">
      <c r="A46" s="93"/>
      <c r="B46" s="93"/>
      <c r="C46" s="106"/>
      <c r="D46" s="95"/>
      <c r="E46" s="96"/>
      <c r="F46" s="97"/>
      <c r="G46" s="107"/>
      <c r="H46" s="99"/>
      <c r="I46" s="100"/>
      <c r="J46" s="100"/>
      <c r="K46" s="101"/>
      <c r="L46" s="101"/>
      <c r="M46" s="102"/>
      <c r="N46" s="101"/>
      <c r="O46" s="103"/>
      <c r="P46" s="108"/>
      <c r="Q46" s="105"/>
      <c r="R46" s="105"/>
      <c r="S46" s="105"/>
    </row>
    <row r="47" ht="22.5" customHeight="1">
      <c r="A47" s="93"/>
      <c r="B47" s="93"/>
      <c r="C47" s="106"/>
      <c r="D47" s="95"/>
      <c r="E47" s="96"/>
      <c r="F47" s="97"/>
      <c r="G47" s="107"/>
      <c r="H47" s="99"/>
      <c r="I47" s="100"/>
      <c r="J47" s="100"/>
      <c r="K47" s="101"/>
      <c r="L47" s="101"/>
      <c r="M47" s="102"/>
      <c r="N47" s="101"/>
      <c r="O47" s="103"/>
      <c r="P47" s="108"/>
      <c r="Q47" s="105" t="str">
        <f t="shared" ref="Q47:R47" si="38">IF($M47="","",$M47&lt;Q$3)</f>
        <v/>
      </c>
      <c r="R47" s="105" t="str">
        <f t="shared" si="38"/>
        <v/>
      </c>
      <c r="S47" s="105" t="str">
        <f>IF(K47="","",K47&lt;=S$3)</f>
        <v/>
      </c>
    </row>
    <row r="48" ht="22.5" customHeight="1">
      <c r="A48" s="93"/>
      <c r="B48" s="93"/>
      <c r="C48" s="106"/>
      <c r="D48" s="95"/>
      <c r="E48" s="96"/>
      <c r="F48" s="97"/>
      <c r="G48" s="107"/>
      <c r="H48" s="99"/>
      <c r="I48" s="100"/>
      <c r="J48" s="100"/>
      <c r="K48" s="101"/>
      <c r="L48" s="101"/>
      <c r="M48" s="102"/>
      <c r="N48" s="101"/>
      <c r="O48" s="103"/>
      <c r="P48" s="108"/>
      <c r="Q48" s="105"/>
      <c r="R48" s="105"/>
      <c r="S48" s="105"/>
    </row>
    <row r="49" ht="22.5" customHeight="1">
      <c r="A49" s="93"/>
      <c r="B49" s="93"/>
      <c r="C49" s="106"/>
      <c r="D49" s="95"/>
      <c r="E49" s="96"/>
      <c r="F49" s="97"/>
      <c r="G49" s="107"/>
      <c r="H49" s="99"/>
      <c r="I49" s="100"/>
      <c r="J49" s="100"/>
      <c r="K49" s="101"/>
      <c r="L49" s="101"/>
      <c r="M49" s="102"/>
      <c r="N49" s="101"/>
      <c r="O49" s="103"/>
      <c r="P49" s="108"/>
      <c r="Q49" s="105"/>
      <c r="R49" s="105"/>
      <c r="S49" s="105"/>
    </row>
    <row r="50" ht="22.5" customHeight="1">
      <c r="A50" s="93"/>
      <c r="B50" s="93"/>
      <c r="C50" s="106"/>
      <c r="D50" s="95"/>
      <c r="E50" s="96"/>
      <c r="F50" s="97"/>
      <c r="G50" s="107"/>
      <c r="H50" s="99"/>
      <c r="I50" s="100"/>
      <c r="J50" s="100"/>
      <c r="K50" s="101"/>
      <c r="L50" s="101"/>
      <c r="M50" s="102"/>
      <c r="N50" s="101"/>
      <c r="O50" s="103"/>
      <c r="P50" s="108"/>
      <c r="Q50" s="105" t="str">
        <f t="shared" ref="Q50:R50" si="39">IF($M50="","",$M50&lt;Q$3)</f>
        <v/>
      </c>
      <c r="R50" s="105" t="str">
        <f t="shared" si="39"/>
        <v/>
      </c>
      <c r="S50" s="105" t="str">
        <f t="shared" ref="S50:S53" si="41">IF(K50="","",K50&lt;=S$3)</f>
        <v/>
      </c>
    </row>
    <row r="51" ht="22.5" customHeight="1">
      <c r="A51" s="93"/>
      <c r="B51" s="93"/>
      <c r="C51" s="106"/>
      <c r="D51" s="95"/>
      <c r="E51" s="96"/>
      <c r="F51" s="97"/>
      <c r="G51" s="107"/>
      <c r="H51" s="99"/>
      <c r="I51" s="100"/>
      <c r="J51" s="100"/>
      <c r="K51" s="101"/>
      <c r="L51" s="101"/>
      <c r="M51" s="102"/>
      <c r="N51" s="101"/>
      <c r="O51" s="103"/>
      <c r="P51" s="108"/>
      <c r="Q51" s="105" t="str">
        <f t="shared" ref="Q51:R51" si="40">IF($M51="","",$M51&lt;Q$3)</f>
        <v/>
      </c>
      <c r="R51" s="105" t="str">
        <f t="shared" si="40"/>
        <v/>
      </c>
      <c r="S51" s="105" t="str">
        <f t="shared" si="41"/>
        <v/>
      </c>
    </row>
    <row r="52" ht="22.5" customHeight="1">
      <c r="A52" s="93"/>
      <c r="B52" s="93"/>
      <c r="C52" s="106"/>
      <c r="D52" s="95"/>
      <c r="E52" s="96"/>
      <c r="F52" s="97"/>
      <c r="G52" s="107"/>
      <c r="H52" s="99"/>
      <c r="I52" s="100"/>
      <c r="J52" s="100"/>
      <c r="K52" s="101"/>
      <c r="L52" s="101"/>
      <c r="M52" s="102"/>
      <c r="N52" s="101"/>
      <c r="O52" s="103"/>
      <c r="P52" s="108"/>
      <c r="Q52" s="105" t="str">
        <f t="shared" ref="Q52:R52" si="42">IF($M52="","",$M52&lt;Q$3)</f>
        <v/>
      </c>
      <c r="R52" s="105" t="str">
        <f t="shared" si="42"/>
        <v/>
      </c>
      <c r="S52" s="105" t="str">
        <f t="shared" si="41"/>
        <v/>
      </c>
    </row>
    <row r="53" ht="22.5" customHeight="1">
      <c r="A53" s="93"/>
      <c r="B53" s="93"/>
      <c r="C53" s="106"/>
      <c r="D53" s="95"/>
      <c r="E53" s="96"/>
      <c r="F53" s="97"/>
      <c r="G53" s="107"/>
      <c r="H53" s="99"/>
      <c r="I53" s="100"/>
      <c r="J53" s="100"/>
      <c r="K53" s="101"/>
      <c r="L53" s="101"/>
      <c r="M53" s="102"/>
      <c r="N53" s="101"/>
      <c r="O53" s="103"/>
      <c r="P53" s="108"/>
      <c r="Q53" s="105" t="str">
        <f t="shared" ref="Q53:R53" si="43">IF($M53="","",$M53&lt;Q$3)</f>
        <v/>
      </c>
      <c r="R53" s="105" t="str">
        <f t="shared" si="43"/>
        <v/>
      </c>
      <c r="S53" s="105" t="str">
        <f t="shared" si="41"/>
        <v/>
      </c>
    </row>
    <row r="54" ht="22.5" customHeight="1">
      <c r="A54" s="93"/>
      <c r="B54" s="93"/>
      <c r="C54" s="106"/>
      <c r="D54" s="95"/>
      <c r="E54" s="96"/>
      <c r="F54" s="97"/>
      <c r="G54" s="107"/>
      <c r="H54" s="99"/>
      <c r="I54" s="100"/>
      <c r="J54" s="100"/>
      <c r="K54" s="101"/>
      <c r="L54" s="101"/>
      <c r="M54" s="102"/>
      <c r="N54" s="101"/>
      <c r="O54" s="103"/>
      <c r="P54" s="108"/>
      <c r="Q54" s="105"/>
      <c r="R54" s="105"/>
      <c r="S54" s="105"/>
    </row>
    <row r="55" ht="22.5" customHeight="1">
      <c r="A55" s="93"/>
      <c r="B55" s="93"/>
      <c r="C55" s="106"/>
      <c r="D55" s="95"/>
      <c r="E55" s="96"/>
      <c r="F55" s="97"/>
      <c r="G55" s="107"/>
      <c r="H55" s="99"/>
      <c r="I55" s="100"/>
      <c r="J55" s="100"/>
      <c r="K55" s="101"/>
      <c r="L55" s="101"/>
      <c r="M55" s="102"/>
      <c r="N55" s="101"/>
      <c r="O55" s="103"/>
      <c r="P55" s="108"/>
      <c r="Q55" s="105" t="str">
        <f t="shared" ref="Q55:R55" si="44">IF($M55="","",$M55&lt;Q$3)</f>
        <v/>
      </c>
      <c r="R55" s="105" t="str">
        <f t="shared" si="44"/>
        <v/>
      </c>
      <c r="S55" s="105" t="str">
        <f>IF(K55="","",K55&lt;=S$3)</f>
        <v/>
      </c>
    </row>
    <row r="56" ht="22.5" customHeight="1">
      <c r="A56" s="93"/>
      <c r="B56" s="93"/>
      <c r="C56" s="106"/>
      <c r="D56" s="95"/>
      <c r="E56" s="96"/>
      <c r="F56" s="97"/>
      <c r="G56" s="107"/>
      <c r="H56" s="99"/>
      <c r="I56" s="100"/>
      <c r="J56" s="100"/>
      <c r="K56" s="101"/>
      <c r="L56" s="101"/>
      <c r="M56" s="102"/>
      <c r="N56" s="101"/>
      <c r="O56" s="103"/>
      <c r="P56" s="108"/>
      <c r="Q56" s="105"/>
      <c r="R56" s="105"/>
      <c r="S56" s="105"/>
    </row>
    <row r="57" ht="22.5" customHeight="1">
      <c r="A57" s="93"/>
      <c r="B57" s="93"/>
      <c r="C57" s="106"/>
      <c r="D57" s="95"/>
      <c r="E57" s="96"/>
      <c r="F57" s="97"/>
      <c r="G57" s="107"/>
      <c r="H57" s="99"/>
      <c r="I57" s="100"/>
      <c r="J57" s="100"/>
      <c r="K57" s="101"/>
      <c r="L57" s="101"/>
      <c r="M57" s="102"/>
      <c r="N57" s="101"/>
      <c r="O57" s="103"/>
      <c r="P57" s="108"/>
      <c r="Q57" s="105" t="str">
        <f t="shared" ref="Q57:R57" si="45">IF($M57="","",$M57&lt;Q$3)</f>
        <v/>
      </c>
      <c r="R57" s="105" t="str">
        <f t="shared" si="45"/>
        <v/>
      </c>
      <c r="S57" s="105" t="str">
        <f>IF(K57="","",K57&lt;=S$3)</f>
        <v/>
      </c>
    </row>
    <row r="58" ht="22.5" customHeight="1">
      <c r="A58" s="93"/>
      <c r="B58" s="93"/>
      <c r="C58" s="106"/>
      <c r="D58" s="95"/>
      <c r="E58" s="96"/>
      <c r="F58" s="97"/>
      <c r="G58" s="107"/>
      <c r="H58" s="99"/>
      <c r="I58" s="100"/>
      <c r="J58" s="100"/>
      <c r="K58" s="101"/>
      <c r="L58" s="101"/>
      <c r="M58" s="102"/>
      <c r="N58" s="101"/>
      <c r="O58" s="103"/>
      <c r="P58" s="108"/>
      <c r="Q58" s="105"/>
      <c r="R58" s="105"/>
      <c r="S58" s="105"/>
    </row>
    <row r="59" ht="22.5" customHeight="1">
      <c r="A59" s="93"/>
      <c r="B59" s="93"/>
      <c r="C59" s="106"/>
      <c r="D59" s="95"/>
      <c r="E59" s="96"/>
      <c r="F59" s="97"/>
      <c r="G59" s="107"/>
      <c r="H59" s="99"/>
      <c r="I59" s="100"/>
      <c r="J59" s="100"/>
      <c r="K59" s="101"/>
      <c r="L59" s="101"/>
      <c r="M59" s="102"/>
      <c r="N59" s="101"/>
      <c r="O59" s="103"/>
      <c r="P59" s="108"/>
      <c r="Q59" s="105" t="str">
        <f t="shared" ref="Q59:R59" si="46">IF($M59="","",$M59&lt;Q$3)</f>
        <v/>
      </c>
      <c r="R59" s="105" t="str">
        <f t="shared" si="46"/>
        <v/>
      </c>
      <c r="S59" s="105" t="str">
        <f t="shared" ref="S59:S73" si="48">IF(K59="","",K59&lt;=S$3)</f>
        <v/>
      </c>
    </row>
    <row r="60" ht="22.5" customHeight="1">
      <c r="A60" s="93"/>
      <c r="B60" s="93"/>
      <c r="C60" s="106"/>
      <c r="D60" s="95"/>
      <c r="E60" s="96"/>
      <c r="F60" s="97"/>
      <c r="G60" s="107"/>
      <c r="H60" s="99"/>
      <c r="I60" s="100"/>
      <c r="J60" s="100"/>
      <c r="K60" s="101"/>
      <c r="L60" s="101"/>
      <c r="M60" s="102"/>
      <c r="N60" s="101"/>
      <c r="O60" s="103"/>
      <c r="P60" s="108"/>
      <c r="Q60" s="105" t="str">
        <f t="shared" ref="Q60:R60" si="47">IF($M60="","",$M60&lt;Q$3)</f>
        <v/>
      </c>
      <c r="R60" s="105" t="str">
        <f t="shared" si="47"/>
        <v/>
      </c>
      <c r="S60" s="105" t="str">
        <f t="shared" si="48"/>
        <v/>
      </c>
    </row>
    <row r="61" ht="22.5" customHeight="1">
      <c r="A61" s="93"/>
      <c r="B61" s="93"/>
      <c r="C61" s="106"/>
      <c r="D61" s="95"/>
      <c r="E61" s="96"/>
      <c r="F61" s="97"/>
      <c r="G61" s="107"/>
      <c r="H61" s="99"/>
      <c r="I61" s="100"/>
      <c r="J61" s="100"/>
      <c r="K61" s="101"/>
      <c r="L61" s="101"/>
      <c r="M61" s="102"/>
      <c r="N61" s="101"/>
      <c r="O61" s="103"/>
      <c r="P61" s="108"/>
      <c r="Q61" s="105" t="str">
        <f t="shared" ref="Q61:R61" si="49">IF($M61="","",$M61&lt;Q$3)</f>
        <v/>
      </c>
      <c r="R61" s="105" t="str">
        <f t="shared" si="49"/>
        <v/>
      </c>
      <c r="S61" s="105" t="str">
        <f t="shared" si="48"/>
        <v/>
      </c>
    </row>
    <row r="62" ht="22.5" customHeight="1">
      <c r="A62" s="93"/>
      <c r="B62" s="93"/>
      <c r="C62" s="106"/>
      <c r="D62" s="95"/>
      <c r="E62" s="96"/>
      <c r="F62" s="97"/>
      <c r="G62" s="107"/>
      <c r="H62" s="99"/>
      <c r="I62" s="100"/>
      <c r="J62" s="100"/>
      <c r="K62" s="101"/>
      <c r="L62" s="101"/>
      <c r="M62" s="102"/>
      <c r="N62" s="101"/>
      <c r="O62" s="103"/>
      <c r="P62" s="108"/>
      <c r="Q62" s="105" t="str">
        <f t="shared" ref="Q62:R62" si="50">IF($M62="","",$M62&lt;Q$3)</f>
        <v/>
      </c>
      <c r="R62" s="105" t="str">
        <f t="shared" si="50"/>
        <v/>
      </c>
      <c r="S62" s="105" t="str">
        <f t="shared" si="48"/>
        <v/>
      </c>
    </row>
    <row r="63" ht="22.5" customHeight="1">
      <c r="A63" s="93"/>
      <c r="B63" s="93"/>
      <c r="C63" s="106"/>
      <c r="D63" s="95"/>
      <c r="E63" s="96"/>
      <c r="F63" s="97"/>
      <c r="G63" s="107"/>
      <c r="H63" s="99"/>
      <c r="I63" s="100"/>
      <c r="J63" s="100"/>
      <c r="K63" s="101"/>
      <c r="L63" s="101"/>
      <c r="M63" s="102"/>
      <c r="N63" s="101"/>
      <c r="O63" s="103"/>
      <c r="P63" s="108"/>
      <c r="Q63" s="105" t="str">
        <f t="shared" ref="Q63:R63" si="51">IF($M63="","",$M63&lt;Q$3)</f>
        <v/>
      </c>
      <c r="R63" s="105" t="str">
        <f t="shared" si="51"/>
        <v/>
      </c>
      <c r="S63" s="105" t="str">
        <f t="shared" si="48"/>
        <v/>
      </c>
    </row>
    <row r="64" ht="22.5" customHeight="1">
      <c r="A64" s="93"/>
      <c r="B64" s="93"/>
      <c r="C64" s="106"/>
      <c r="D64" s="95"/>
      <c r="E64" s="96"/>
      <c r="F64" s="97"/>
      <c r="G64" s="107"/>
      <c r="H64" s="99"/>
      <c r="I64" s="100"/>
      <c r="J64" s="100"/>
      <c r="K64" s="101"/>
      <c r="L64" s="101"/>
      <c r="M64" s="102"/>
      <c r="N64" s="101"/>
      <c r="O64" s="103"/>
      <c r="P64" s="108"/>
      <c r="Q64" s="105" t="str">
        <f t="shared" ref="Q64:R64" si="52">IF($M64="","",$M64&lt;Q$3)</f>
        <v/>
      </c>
      <c r="R64" s="105" t="str">
        <f t="shared" si="52"/>
        <v/>
      </c>
      <c r="S64" s="105" t="str">
        <f t="shared" si="48"/>
        <v/>
      </c>
    </row>
    <row r="65" ht="22.5" customHeight="1">
      <c r="A65" s="93"/>
      <c r="B65" s="93"/>
      <c r="C65" s="106"/>
      <c r="D65" s="95"/>
      <c r="E65" s="96"/>
      <c r="F65" s="97"/>
      <c r="G65" s="107"/>
      <c r="H65" s="99"/>
      <c r="I65" s="100"/>
      <c r="J65" s="100"/>
      <c r="K65" s="101"/>
      <c r="L65" s="101"/>
      <c r="M65" s="102"/>
      <c r="N65" s="101"/>
      <c r="O65" s="103"/>
      <c r="P65" s="108"/>
      <c r="Q65" s="105" t="str">
        <f t="shared" ref="Q65:R65" si="53">IF($M65="","",$M65&lt;Q$3)</f>
        <v/>
      </c>
      <c r="R65" s="105" t="str">
        <f t="shared" si="53"/>
        <v/>
      </c>
      <c r="S65" s="105" t="str">
        <f t="shared" si="48"/>
        <v/>
      </c>
    </row>
    <row r="66" ht="22.5" customHeight="1">
      <c r="A66" s="93"/>
      <c r="B66" s="93"/>
      <c r="C66" s="106"/>
      <c r="D66" s="95"/>
      <c r="E66" s="96"/>
      <c r="F66" s="97"/>
      <c r="G66" s="107"/>
      <c r="H66" s="99"/>
      <c r="I66" s="109"/>
      <c r="J66" s="100"/>
      <c r="K66" s="101"/>
      <c r="L66" s="101"/>
      <c r="M66" s="102"/>
      <c r="N66" s="101"/>
      <c r="O66" s="103"/>
      <c r="P66" s="108"/>
      <c r="Q66" s="105" t="str">
        <f t="shared" ref="Q66:R66" si="54">IF($M66="","",$M66&lt;Q$3)</f>
        <v/>
      </c>
      <c r="R66" s="105" t="str">
        <f t="shared" si="54"/>
        <v/>
      </c>
      <c r="S66" s="105" t="str">
        <f t="shared" si="48"/>
        <v/>
      </c>
    </row>
    <row r="67" ht="22.5" customHeight="1">
      <c r="A67" s="93"/>
      <c r="B67" s="93"/>
      <c r="C67" s="106"/>
      <c r="D67" s="95"/>
      <c r="E67" s="96"/>
      <c r="F67" s="97"/>
      <c r="G67" s="107"/>
      <c r="H67" s="99"/>
      <c r="I67" s="100"/>
      <c r="J67" s="100"/>
      <c r="K67" s="101"/>
      <c r="L67" s="101"/>
      <c r="M67" s="102"/>
      <c r="N67" s="101"/>
      <c r="O67" s="103"/>
      <c r="P67" s="108"/>
      <c r="Q67" s="105" t="str">
        <f t="shared" ref="Q67:R67" si="55">IF($M67="","",$M67&lt;Q$3)</f>
        <v/>
      </c>
      <c r="R67" s="105" t="str">
        <f t="shared" si="55"/>
        <v/>
      </c>
      <c r="S67" s="105" t="str">
        <f t="shared" si="48"/>
        <v/>
      </c>
    </row>
    <row r="68" ht="22.5" customHeight="1">
      <c r="A68" s="93"/>
      <c r="B68" s="93"/>
      <c r="C68" s="106"/>
      <c r="D68" s="95"/>
      <c r="E68" s="96"/>
      <c r="F68" s="97"/>
      <c r="G68" s="107"/>
      <c r="H68" s="99"/>
      <c r="I68" s="100"/>
      <c r="J68" s="100"/>
      <c r="K68" s="101"/>
      <c r="L68" s="101"/>
      <c r="M68" s="102"/>
      <c r="N68" s="101"/>
      <c r="O68" s="103"/>
      <c r="P68" s="108"/>
      <c r="Q68" s="105" t="str">
        <f t="shared" ref="Q68:R68" si="56">IF($M68="","",$M68&lt;Q$3)</f>
        <v/>
      </c>
      <c r="R68" s="105" t="str">
        <f t="shared" si="56"/>
        <v/>
      </c>
      <c r="S68" s="105" t="str">
        <f t="shared" si="48"/>
        <v/>
      </c>
    </row>
    <row r="69" ht="22.5" customHeight="1">
      <c r="A69" s="93"/>
      <c r="B69" s="93"/>
      <c r="C69" s="106"/>
      <c r="D69" s="95"/>
      <c r="E69" s="96"/>
      <c r="F69" s="97"/>
      <c r="G69" s="107"/>
      <c r="H69" s="99"/>
      <c r="I69" s="100"/>
      <c r="J69" s="100"/>
      <c r="K69" s="101"/>
      <c r="L69" s="101"/>
      <c r="M69" s="102"/>
      <c r="N69" s="101"/>
      <c r="O69" s="103"/>
      <c r="P69" s="108"/>
      <c r="Q69" s="105" t="str">
        <f t="shared" ref="Q69:R69" si="57">IF($M69="","",$M69&lt;Q$3)</f>
        <v/>
      </c>
      <c r="R69" s="105" t="str">
        <f t="shared" si="57"/>
        <v/>
      </c>
      <c r="S69" s="105" t="str">
        <f t="shared" si="48"/>
        <v/>
      </c>
    </row>
    <row r="70" ht="22.5" customHeight="1">
      <c r="A70" s="93"/>
      <c r="B70" s="93"/>
      <c r="C70" s="106"/>
      <c r="D70" s="95"/>
      <c r="E70" s="96"/>
      <c r="F70" s="97"/>
      <c r="G70" s="107"/>
      <c r="H70" s="99"/>
      <c r="I70" s="100"/>
      <c r="J70" s="100"/>
      <c r="K70" s="101"/>
      <c r="L70" s="101"/>
      <c r="M70" s="102"/>
      <c r="N70" s="101"/>
      <c r="O70" s="103"/>
      <c r="P70" s="108"/>
      <c r="Q70" s="105" t="str">
        <f t="shared" ref="Q70:R70" si="58">IF($M70="","",$M70&lt;Q$3)</f>
        <v/>
      </c>
      <c r="R70" s="105" t="str">
        <f t="shared" si="58"/>
        <v/>
      </c>
      <c r="S70" s="105" t="str">
        <f t="shared" si="48"/>
        <v/>
      </c>
    </row>
    <row r="71" ht="22.5" customHeight="1">
      <c r="A71" s="93"/>
      <c r="B71" s="93"/>
      <c r="C71" s="106"/>
      <c r="D71" s="95"/>
      <c r="E71" s="96"/>
      <c r="F71" s="97"/>
      <c r="G71" s="107"/>
      <c r="H71" s="99"/>
      <c r="I71" s="100"/>
      <c r="J71" s="100"/>
      <c r="K71" s="101"/>
      <c r="L71" s="101"/>
      <c r="M71" s="102"/>
      <c r="N71" s="101"/>
      <c r="O71" s="103"/>
      <c r="P71" s="108"/>
      <c r="Q71" s="105" t="str">
        <f t="shared" ref="Q71:R71" si="59">IF($M71="","",$M71&lt;Q$3)</f>
        <v/>
      </c>
      <c r="R71" s="105" t="str">
        <f t="shared" si="59"/>
        <v/>
      </c>
      <c r="S71" s="105" t="str">
        <f t="shared" si="48"/>
        <v/>
      </c>
    </row>
    <row r="72" ht="22.5" customHeight="1">
      <c r="A72" s="93"/>
      <c r="B72" s="93"/>
      <c r="C72" s="106"/>
      <c r="D72" s="95"/>
      <c r="E72" s="96"/>
      <c r="F72" s="97"/>
      <c r="G72" s="107"/>
      <c r="H72" s="99"/>
      <c r="I72" s="100"/>
      <c r="J72" s="100"/>
      <c r="K72" s="101"/>
      <c r="L72" s="101"/>
      <c r="M72" s="102"/>
      <c r="N72" s="101"/>
      <c r="O72" s="103"/>
      <c r="P72" s="108"/>
      <c r="Q72" s="105" t="str">
        <f t="shared" ref="Q72:R72" si="60">IF($M72="","",$M72&lt;Q$3)</f>
        <v/>
      </c>
      <c r="R72" s="105" t="str">
        <f t="shared" si="60"/>
        <v/>
      </c>
      <c r="S72" s="105" t="str">
        <f t="shared" si="48"/>
        <v/>
      </c>
    </row>
    <row r="73" ht="22.5" customHeight="1">
      <c r="A73" s="93"/>
      <c r="B73" s="93"/>
      <c r="C73" s="106"/>
      <c r="D73" s="95"/>
      <c r="E73" s="96"/>
      <c r="F73" s="97"/>
      <c r="G73" s="107"/>
      <c r="H73" s="99"/>
      <c r="I73" s="100"/>
      <c r="J73" s="100"/>
      <c r="K73" s="101"/>
      <c r="L73" s="101"/>
      <c r="M73" s="102"/>
      <c r="N73" s="101"/>
      <c r="O73" s="103"/>
      <c r="P73" s="108"/>
      <c r="Q73" s="105" t="str">
        <f t="shared" ref="Q73:R73" si="61">IF($M73="","",$M73&lt;Q$3)</f>
        <v/>
      </c>
      <c r="R73" s="105" t="str">
        <f t="shared" si="61"/>
        <v/>
      </c>
      <c r="S73" s="105" t="str">
        <f t="shared" si="48"/>
        <v/>
      </c>
    </row>
    <row r="74">
      <c r="C74" s="9"/>
      <c r="D74" s="9"/>
      <c r="P74" s="9"/>
      <c r="Q74" s="27"/>
      <c r="R74" s="27"/>
      <c r="S74" s="27"/>
    </row>
    <row r="75">
      <c r="C75" s="9"/>
      <c r="D75" s="9"/>
      <c r="P75" s="9"/>
      <c r="Q75" s="27"/>
      <c r="R75" s="27"/>
      <c r="S75" s="27"/>
    </row>
    <row r="76">
      <c r="C76" s="9"/>
      <c r="D76" s="9"/>
      <c r="P76" s="9"/>
      <c r="Q76" s="27"/>
      <c r="R76" s="27"/>
      <c r="S76" s="27"/>
    </row>
    <row r="77">
      <c r="C77" s="9"/>
      <c r="D77" s="9"/>
      <c r="P77" s="9"/>
      <c r="Q77" s="27"/>
      <c r="R77" s="27"/>
      <c r="S77" s="27"/>
    </row>
    <row r="78">
      <c r="C78" s="9"/>
      <c r="D78" s="9"/>
      <c r="P78" s="9"/>
      <c r="Q78" s="27"/>
      <c r="R78" s="27"/>
      <c r="S78" s="27"/>
    </row>
    <row r="79">
      <c r="C79" s="9"/>
      <c r="D79" s="9"/>
      <c r="P79" s="9"/>
      <c r="Q79" s="27"/>
      <c r="R79" s="27"/>
      <c r="S79" s="27"/>
    </row>
    <row r="80">
      <c r="C80" s="9"/>
      <c r="D80" s="9"/>
      <c r="P80" s="9"/>
      <c r="Q80" s="27"/>
      <c r="R80" s="27"/>
      <c r="S80" s="27"/>
    </row>
    <row r="81">
      <c r="C81" s="9"/>
      <c r="D81" s="9"/>
      <c r="P81" s="9"/>
      <c r="Q81" s="27"/>
      <c r="R81" s="27"/>
      <c r="S81" s="27"/>
    </row>
    <row r="82">
      <c r="C82" s="9"/>
      <c r="D82" s="9"/>
      <c r="P82" s="9"/>
      <c r="Q82" s="27"/>
      <c r="R82" s="27"/>
      <c r="S82" s="27"/>
    </row>
    <row r="83">
      <c r="C83" s="9"/>
      <c r="D83" s="9"/>
      <c r="P83" s="9"/>
      <c r="Q83" s="27"/>
      <c r="R83" s="27"/>
      <c r="S83" s="27"/>
    </row>
    <row r="84">
      <c r="C84" s="9"/>
      <c r="D84" s="9"/>
      <c r="P84" s="9"/>
      <c r="Q84" s="27"/>
      <c r="R84" s="27"/>
      <c r="S84" s="27"/>
    </row>
    <row r="85">
      <c r="C85" s="9"/>
      <c r="D85" s="9"/>
      <c r="P85" s="9"/>
      <c r="Q85" s="27"/>
      <c r="R85" s="27"/>
      <c r="S85" s="27"/>
    </row>
    <row r="86">
      <c r="C86" s="9"/>
      <c r="D86" s="9"/>
      <c r="P86" s="9"/>
      <c r="Q86" s="27"/>
      <c r="R86" s="27"/>
      <c r="S86" s="27"/>
    </row>
    <row r="87">
      <c r="C87" s="9"/>
      <c r="D87" s="9"/>
      <c r="P87" s="9"/>
      <c r="Q87" s="27"/>
      <c r="R87" s="27"/>
      <c r="S87" s="27"/>
    </row>
    <row r="88">
      <c r="C88" s="9"/>
      <c r="D88" s="9"/>
      <c r="P88" s="9"/>
      <c r="Q88" s="27"/>
      <c r="R88" s="27"/>
      <c r="S88" s="27"/>
    </row>
    <row r="89">
      <c r="C89" s="9"/>
      <c r="D89" s="9"/>
      <c r="P89" s="9"/>
      <c r="Q89" s="27"/>
      <c r="R89" s="27"/>
      <c r="S89" s="27"/>
    </row>
    <row r="90">
      <c r="C90" s="9"/>
      <c r="D90" s="9"/>
      <c r="P90" s="9"/>
      <c r="Q90" s="27"/>
      <c r="R90" s="27"/>
      <c r="S90" s="27"/>
    </row>
    <row r="91">
      <c r="C91" s="9"/>
      <c r="D91" s="9"/>
      <c r="P91" s="9"/>
      <c r="Q91" s="27"/>
      <c r="R91" s="27"/>
      <c r="S91" s="27"/>
    </row>
    <row r="92">
      <c r="C92" s="9"/>
      <c r="D92" s="9"/>
      <c r="P92" s="9"/>
      <c r="Q92" s="27"/>
      <c r="R92" s="27"/>
      <c r="S92" s="27"/>
    </row>
    <row r="93">
      <c r="C93" s="9"/>
      <c r="D93" s="9"/>
      <c r="P93" s="9"/>
      <c r="Q93" s="27"/>
      <c r="R93" s="27"/>
      <c r="S93" s="27"/>
    </row>
    <row r="94">
      <c r="C94" s="9"/>
      <c r="D94" s="9"/>
      <c r="P94" s="9"/>
      <c r="Q94" s="27"/>
      <c r="R94" s="27"/>
      <c r="S94" s="27"/>
    </row>
    <row r="95">
      <c r="C95" s="9"/>
      <c r="D95" s="9"/>
      <c r="P95" s="9"/>
      <c r="Q95" s="27"/>
      <c r="R95" s="27"/>
      <c r="S95" s="27"/>
    </row>
    <row r="96">
      <c r="C96" s="9"/>
      <c r="D96" s="9"/>
      <c r="P96" s="9"/>
      <c r="Q96" s="27"/>
      <c r="R96" s="27"/>
      <c r="S96" s="27"/>
    </row>
    <row r="97">
      <c r="C97" s="9"/>
      <c r="D97" s="9"/>
      <c r="P97" s="9"/>
      <c r="Q97" s="27"/>
      <c r="R97" s="27"/>
      <c r="S97" s="27"/>
    </row>
    <row r="98">
      <c r="C98" s="9"/>
      <c r="D98" s="9"/>
      <c r="P98" s="9"/>
      <c r="Q98" s="27"/>
      <c r="R98" s="27"/>
      <c r="S98" s="27"/>
    </row>
    <row r="99">
      <c r="C99" s="9"/>
      <c r="D99" s="9"/>
      <c r="P99" s="9"/>
      <c r="Q99" s="27"/>
      <c r="R99" s="27"/>
      <c r="S99" s="27"/>
    </row>
    <row r="100">
      <c r="C100" s="9"/>
      <c r="D100" s="9"/>
      <c r="P100" s="9"/>
      <c r="Q100" s="27"/>
      <c r="R100" s="27"/>
      <c r="S100" s="27"/>
    </row>
    <row r="101">
      <c r="C101" s="9"/>
      <c r="D101" s="9"/>
      <c r="P101" s="9"/>
      <c r="Q101" s="27"/>
      <c r="R101" s="27"/>
      <c r="S101" s="27"/>
    </row>
    <row r="102">
      <c r="C102" s="9"/>
      <c r="D102" s="9"/>
      <c r="P102" s="9"/>
      <c r="Q102" s="27"/>
      <c r="R102" s="27"/>
      <c r="S102" s="27"/>
    </row>
    <row r="103">
      <c r="C103" s="9"/>
      <c r="D103" s="9"/>
      <c r="P103" s="9"/>
      <c r="Q103" s="27"/>
      <c r="R103" s="27"/>
      <c r="S103" s="27"/>
    </row>
    <row r="104">
      <c r="C104" s="9"/>
      <c r="D104" s="9"/>
      <c r="P104" s="9"/>
      <c r="Q104" s="27"/>
      <c r="R104" s="27"/>
      <c r="S104" s="27"/>
    </row>
    <row r="105">
      <c r="C105" s="9"/>
      <c r="D105" s="9"/>
      <c r="P105" s="9"/>
      <c r="Q105" s="27"/>
      <c r="R105" s="27"/>
      <c r="S105" s="27"/>
    </row>
    <row r="106">
      <c r="C106" s="9"/>
      <c r="D106" s="9"/>
      <c r="P106" s="9"/>
      <c r="Q106" s="27"/>
      <c r="R106" s="27"/>
      <c r="S106" s="27"/>
    </row>
    <row r="107">
      <c r="C107" s="9"/>
      <c r="D107" s="9"/>
      <c r="P107" s="9"/>
      <c r="Q107" s="27"/>
      <c r="R107" s="27"/>
      <c r="S107" s="27"/>
    </row>
    <row r="108">
      <c r="C108" s="9"/>
      <c r="D108" s="9"/>
      <c r="P108" s="9"/>
      <c r="Q108" s="27"/>
      <c r="R108" s="27"/>
      <c r="S108" s="27"/>
    </row>
    <row r="109">
      <c r="C109" s="9"/>
      <c r="D109" s="9"/>
      <c r="P109" s="9"/>
      <c r="Q109" s="27"/>
      <c r="R109" s="27"/>
      <c r="S109" s="27"/>
    </row>
    <row r="110">
      <c r="C110" s="9"/>
      <c r="D110" s="9"/>
      <c r="P110" s="9"/>
      <c r="Q110" s="27"/>
      <c r="R110" s="27"/>
      <c r="S110" s="27"/>
    </row>
    <row r="111">
      <c r="C111" s="9"/>
      <c r="D111" s="9"/>
      <c r="P111" s="9"/>
      <c r="Q111" s="27"/>
      <c r="R111" s="27"/>
      <c r="S111" s="27"/>
    </row>
    <row r="112">
      <c r="C112" s="9"/>
      <c r="D112" s="9"/>
      <c r="P112" s="9"/>
      <c r="Q112" s="27"/>
      <c r="R112" s="27"/>
      <c r="S112" s="27"/>
    </row>
    <row r="113">
      <c r="C113" s="9"/>
      <c r="D113" s="9"/>
      <c r="P113" s="9"/>
      <c r="Q113" s="27"/>
      <c r="R113" s="27"/>
      <c r="S113" s="27"/>
    </row>
    <row r="114">
      <c r="C114" s="9"/>
      <c r="D114" s="9"/>
      <c r="P114" s="9"/>
      <c r="Q114" s="27"/>
      <c r="R114" s="27"/>
      <c r="S114" s="27"/>
    </row>
    <row r="115">
      <c r="C115" s="9"/>
      <c r="D115" s="9"/>
      <c r="P115" s="9"/>
      <c r="Q115" s="27"/>
      <c r="R115" s="27"/>
      <c r="S115" s="27"/>
    </row>
    <row r="116">
      <c r="C116" s="9"/>
      <c r="D116" s="9"/>
      <c r="P116" s="9"/>
      <c r="Q116" s="27"/>
      <c r="R116" s="27"/>
      <c r="S116" s="27"/>
    </row>
    <row r="117">
      <c r="C117" s="9"/>
      <c r="D117" s="9"/>
      <c r="P117" s="9"/>
      <c r="Q117" s="27"/>
      <c r="R117" s="27"/>
      <c r="S117" s="27"/>
    </row>
    <row r="118">
      <c r="C118" s="9"/>
      <c r="D118" s="9"/>
      <c r="P118" s="9"/>
      <c r="Q118" s="27"/>
      <c r="R118" s="27"/>
      <c r="S118" s="27"/>
    </row>
    <row r="119">
      <c r="C119" s="9"/>
      <c r="D119" s="9"/>
      <c r="P119" s="9"/>
      <c r="Q119" s="27"/>
      <c r="R119" s="27"/>
      <c r="S119" s="27"/>
    </row>
    <row r="120">
      <c r="C120" s="9"/>
      <c r="D120" s="9"/>
      <c r="P120" s="9"/>
      <c r="Q120" s="27"/>
      <c r="R120" s="27"/>
      <c r="S120" s="27"/>
    </row>
    <row r="121">
      <c r="C121" s="9"/>
      <c r="D121" s="9"/>
      <c r="P121" s="9"/>
      <c r="Q121" s="27"/>
      <c r="R121" s="27"/>
      <c r="S121" s="27"/>
    </row>
    <row r="122">
      <c r="C122" s="9"/>
      <c r="D122" s="9"/>
      <c r="P122" s="9"/>
      <c r="Q122" s="27"/>
      <c r="R122" s="27"/>
      <c r="S122" s="27"/>
    </row>
    <row r="123">
      <c r="C123" s="9"/>
      <c r="D123" s="9"/>
      <c r="P123" s="9"/>
      <c r="Q123" s="27"/>
      <c r="R123" s="27"/>
      <c r="S123" s="27"/>
    </row>
    <row r="124">
      <c r="C124" s="9"/>
      <c r="D124" s="9"/>
      <c r="P124" s="9"/>
      <c r="Q124" s="27"/>
      <c r="R124" s="27"/>
      <c r="S124" s="27"/>
    </row>
    <row r="125">
      <c r="C125" s="9"/>
      <c r="D125" s="9"/>
      <c r="P125" s="9"/>
      <c r="Q125" s="27"/>
      <c r="R125" s="27"/>
      <c r="S125" s="27"/>
    </row>
    <row r="126">
      <c r="C126" s="9"/>
      <c r="D126" s="9"/>
      <c r="P126" s="9"/>
      <c r="Q126" s="27"/>
      <c r="R126" s="27"/>
      <c r="S126" s="27"/>
    </row>
    <row r="127">
      <c r="C127" s="9"/>
      <c r="D127" s="9"/>
      <c r="P127" s="9"/>
      <c r="Q127" s="27"/>
      <c r="R127" s="27"/>
      <c r="S127" s="27"/>
    </row>
    <row r="128">
      <c r="C128" s="9"/>
      <c r="D128" s="9"/>
      <c r="P128" s="9"/>
      <c r="Q128" s="27"/>
      <c r="R128" s="27"/>
      <c r="S128" s="27"/>
    </row>
    <row r="129">
      <c r="C129" s="9"/>
      <c r="D129" s="9"/>
      <c r="P129" s="9"/>
      <c r="Q129" s="27"/>
      <c r="R129" s="27"/>
      <c r="S129" s="27"/>
    </row>
    <row r="130">
      <c r="C130" s="9"/>
      <c r="D130" s="9"/>
      <c r="P130" s="9"/>
      <c r="Q130" s="27"/>
      <c r="R130" s="27"/>
      <c r="S130" s="27"/>
    </row>
    <row r="131">
      <c r="C131" s="9"/>
      <c r="D131" s="9"/>
      <c r="P131" s="9"/>
      <c r="Q131" s="27"/>
      <c r="R131" s="27"/>
      <c r="S131" s="27"/>
    </row>
    <row r="132">
      <c r="C132" s="9"/>
      <c r="D132" s="9"/>
      <c r="P132" s="9"/>
      <c r="Q132" s="27"/>
      <c r="R132" s="27"/>
      <c r="S132" s="27"/>
    </row>
    <row r="133">
      <c r="C133" s="9"/>
      <c r="D133" s="9"/>
      <c r="P133" s="9"/>
      <c r="Q133" s="27"/>
      <c r="R133" s="27"/>
      <c r="S133" s="27"/>
    </row>
    <row r="134">
      <c r="C134" s="9"/>
      <c r="D134" s="9"/>
      <c r="P134" s="9"/>
      <c r="Q134" s="27"/>
      <c r="R134" s="27"/>
      <c r="S134" s="27"/>
    </row>
    <row r="135">
      <c r="C135" s="9"/>
      <c r="D135" s="9"/>
      <c r="P135" s="9"/>
      <c r="Q135" s="27"/>
      <c r="R135" s="27"/>
      <c r="S135" s="27"/>
    </row>
    <row r="136">
      <c r="C136" s="9"/>
      <c r="D136" s="9"/>
      <c r="P136" s="9"/>
      <c r="Q136" s="27"/>
      <c r="R136" s="27"/>
      <c r="S136" s="27"/>
    </row>
    <row r="137">
      <c r="C137" s="9"/>
      <c r="D137" s="9"/>
      <c r="P137" s="9"/>
      <c r="Q137" s="27"/>
      <c r="R137" s="27"/>
      <c r="S137" s="27"/>
    </row>
    <row r="138">
      <c r="C138" s="9"/>
      <c r="D138" s="9"/>
      <c r="P138" s="9"/>
      <c r="Q138" s="27"/>
      <c r="R138" s="27"/>
      <c r="S138" s="27"/>
    </row>
    <row r="139">
      <c r="C139" s="9"/>
      <c r="D139" s="9"/>
      <c r="P139" s="9"/>
      <c r="Q139" s="27"/>
      <c r="R139" s="27"/>
      <c r="S139" s="27"/>
    </row>
    <row r="140">
      <c r="C140" s="9"/>
      <c r="D140" s="9"/>
      <c r="P140" s="9"/>
      <c r="Q140" s="27"/>
      <c r="R140" s="27"/>
      <c r="S140" s="27"/>
    </row>
    <row r="141">
      <c r="C141" s="9"/>
      <c r="D141" s="9"/>
      <c r="P141" s="9"/>
      <c r="Q141" s="27"/>
      <c r="R141" s="27"/>
      <c r="S141" s="27"/>
    </row>
    <row r="142">
      <c r="C142" s="9"/>
      <c r="D142" s="9"/>
      <c r="P142" s="9"/>
      <c r="Q142" s="27"/>
      <c r="R142" s="27"/>
      <c r="S142" s="27"/>
    </row>
    <row r="143">
      <c r="C143" s="9"/>
      <c r="D143" s="9"/>
      <c r="P143" s="9"/>
      <c r="Q143" s="27"/>
      <c r="R143" s="27"/>
      <c r="S143" s="27"/>
    </row>
    <row r="144">
      <c r="C144" s="9"/>
      <c r="D144" s="9"/>
      <c r="P144" s="9"/>
      <c r="Q144" s="27"/>
      <c r="R144" s="27"/>
      <c r="S144" s="27"/>
    </row>
    <row r="145">
      <c r="C145" s="9"/>
      <c r="D145" s="9"/>
      <c r="P145" s="9"/>
      <c r="Q145" s="27"/>
      <c r="R145" s="27"/>
      <c r="S145" s="27"/>
    </row>
    <row r="146">
      <c r="C146" s="9"/>
      <c r="D146" s="9"/>
      <c r="P146" s="9"/>
      <c r="Q146" s="27"/>
      <c r="R146" s="27"/>
      <c r="S146" s="27"/>
    </row>
    <row r="147">
      <c r="C147" s="9"/>
      <c r="D147" s="9"/>
      <c r="P147" s="9"/>
      <c r="Q147" s="27"/>
      <c r="R147" s="27"/>
      <c r="S147" s="27"/>
    </row>
    <row r="148">
      <c r="C148" s="9"/>
      <c r="D148" s="9"/>
      <c r="P148" s="9"/>
      <c r="Q148" s="27"/>
      <c r="R148" s="27"/>
      <c r="S148" s="27"/>
    </row>
    <row r="149">
      <c r="C149" s="9"/>
      <c r="D149" s="9"/>
      <c r="P149" s="9"/>
      <c r="Q149" s="27"/>
      <c r="R149" s="27"/>
      <c r="S149" s="27"/>
    </row>
    <row r="150">
      <c r="C150" s="9"/>
      <c r="D150" s="9"/>
      <c r="P150" s="9"/>
      <c r="Q150" s="27"/>
      <c r="R150" s="27"/>
      <c r="S150" s="27"/>
    </row>
    <row r="151">
      <c r="C151" s="9"/>
      <c r="D151" s="9"/>
      <c r="P151" s="9"/>
      <c r="Q151" s="27"/>
      <c r="R151" s="27"/>
      <c r="S151" s="27"/>
    </row>
    <row r="152">
      <c r="C152" s="9"/>
      <c r="D152" s="9"/>
      <c r="P152" s="9"/>
      <c r="Q152" s="27"/>
      <c r="R152" s="27"/>
      <c r="S152" s="27"/>
    </row>
    <row r="153">
      <c r="C153" s="9"/>
      <c r="D153" s="9"/>
      <c r="P153" s="9"/>
      <c r="Q153" s="27"/>
      <c r="R153" s="27"/>
      <c r="S153" s="27"/>
    </row>
    <row r="154">
      <c r="C154" s="9"/>
      <c r="D154" s="9"/>
      <c r="P154" s="9"/>
      <c r="Q154" s="27"/>
      <c r="R154" s="27"/>
      <c r="S154" s="27"/>
    </row>
    <row r="155">
      <c r="C155" s="9"/>
      <c r="D155" s="9"/>
      <c r="P155" s="9"/>
      <c r="Q155" s="27"/>
      <c r="R155" s="27"/>
      <c r="S155" s="27"/>
    </row>
    <row r="156">
      <c r="C156" s="9"/>
      <c r="D156" s="9"/>
      <c r="P156" s="9"/>
      <c r="Q156" s="27"/>
      <c r="R156" s="27"/>
      <c r="S156" s="27"/>
    </row>
    <row r="157">
      <c r="C157" s="9"/>
      <c r="D157" s="9"/>
      <c r="P157" s="9"/>
      <c r="Q157" s="27"/>
      <c r="R157" s="27"/>
      <c r="S157" s="27"/>
    </row>
    <row r="158">
      <c r="C158" s="9"/>
      <c r="D158" s="9"/>
      <c r="P158" s="9"/>
      <c r="Q158" s="27"/>
      <c r="R158" s="27"/>
      <c r="S158" s="27"/>
    </row>
    <row r="159">
      <c r="C159" s="9"/>
      <c r="D159" s="9"/>
      <c r="P159" s="9"/>
      <c r="Q159" s="27"/>
      <c r="R159" s="27"/>
      <c r="S159" s="27"/>
    </row>
    <row r="160">
      <c r="C160" s="9"/>
      <c r="D160" s="9"/>
      <c r="P160" s="9"/>
      <c r="Q160" s="27"/>
      <c r="R160" s="27"/>
      <c r="S160" s="27"/>
    </row>
    <row r="161">
      <c r="C161" s="9"/>
      <c r="D161" s="9"/>
      <c r="P161" s="9"/>
      <c r="Q161" s="27"/>
      <c r="R161" s="27"/>
      <c r="S161" s="27"/>
    </row>
    <row r="162">
      <c r="C162" s="9"/>
      <c r="D162" s="9"/>
      <c r="P162" s="9"/>
      <c r="Q162" s="27"/>
      <c r="R162" s="27"/>
      <c r="S162" s="27"/>
    </row>
    <row r="163">
      <c r="C163" s="9"/>
      <c r="D163" s="9"/>
      <c r="P163" s="9"/>
      <c r="Q163" s="27"/>
      <c r="R163" s="27"/>
      <c r="S163" s="27"/>
    </row>
    <row r="164">
      <c r="C164" s="9"/>
      <c r="D164" s="9"/>
      <c r="P164" s="9"/>
      <c r="Q164" s="27"/>
      <c r="R164" s="27"/>
      <c r="S164" s="27"/>
    </row>
    <row r="165">
      <c r="C165" s="9"/>
      <c r="D165" s="9"/>
      <c r="P165" s="9"/>
      <c r="Q165" s="27"/>
      <c r="R165" s="27"/>
      <c r="S165" s="27"/>
    </row>
    <row r="166">
      <c r="C166" s="9"/>
      <c r="D166" s="9"/>
      <c r="P166" s="9"/>
      <c r="Q166" s="27"/>
      <c r="R166" s="27"/>
      <c r="S166" s="27"/>
    </row>
    <row r="167">
      <c r="C167" s="9"/>
      <c r="D167" s="9"/>
      <c r="P167" s="9"/>
      <c r="Q167" s="27"/>
      <c r="R167" s="27"/>
      <c r="S167" s="27"/>
    </row>
    <row r="168">
      <c r="C168" s="9"/>
      <c r="D168" s="9"/>
      <c r="P168" s="9"/>
      <c r="Q168" s="27"/>
      <c r="R168" s="27"/>
      <c r="S168" s="27"/>
    </row>
    <row r="169">
      <c r="C169" s="9"/>
      <c r="D169" s="9"/>
      <c r="P169" s="9"/>
      <c r="Q169" s="27"/>
      <c r="R169" s="27"/>
      <c r="S169" s="27"/>
    </row>
    <row r="170">
      <c r="C170" s="9"/>
      <c r="D170" s="9"/>
      <c r="P170" s="9"/>
      <c r="Q170" s="27"/>
      <c r="R170" s="27"/>
      <c r="S170" s="27"/>
    </row>
    <row r="171">
      <c r="C171" s="9"/>
      <c r="D171" s="9"/>
      <c r="P171" s="9"/>
      <c r="Q171" s="27"/>
      <c r="R171" s="27"/>
      <c r="S171" s="27"/>
    </row>
    <row r="172">
      <c r="C172" s="9"/>
      <c r="D172" s="9"/>
      <c r="P172" s="9"/>
      <c r="Q172" s="27"/>
      <c r="R172" s="27"/>
      <c r="S172" s="27"/>
    </row>
    <row r="173">
      <c r="C173" s="9"/>
      <c r="D173" s="9"/>
      <c r="P173" s="9"/>
      <c r="Q173" s="27"/>
      <c r="R173" s="27"/>
      <c r="S173" s="27"/>
    </row>
    <row r="174">
      <c r="C174" s="9"/>
      <c r="D174" s="9"/>
      <c r="P174" s="9"/>
      <c r="Q174" s="27"/>
      <c r="R174" s="27"/>
      <c r="S174" s="27"/>
    </row>
    <row r="175">
      <c r="C175" s="9"/>
      <c r="D175" s="9"/>
      <c r="P175" s="9"/>
      <c r="Q175" s="27"/>
      <c r="R175" s="27"/>
      <c r="S175" s="27"/>
    </row>
    <row r="176">
      <c r="C176" s="9"/>
      <c r="D176" s="9"/>
      <c r="P176" s="9"/>
      <c r="Q176" s="27"/>
      <c r="R176" s="27"/>
      <c r="S176" s="27"/>
    </row>
    <row r="177">
      <c r="C177" s="9"/>
      <c r="D177" s="9"/>
      <c r="P177" s="9"/>
      <c r="Q177" s="27"/>
      <c r="R177" s="27"/>
      <c r="S177" s="27"/>
    </row>
    <row r="178">
      <c r="C178" s="9"/>
      <c r="D178" s="9"/>
      <c r="P178" s="9"/>
      <c r="Q178" s="27"/>
      <c r="R178" s="27"/>
      <c r="S178" s="27"/>
    </row>
    <row r="179">
      <c r="C179" s="9"/>
      <c r="D179" s="9"/>
      <c r="P179" s="9"/>
      <c r="Q179" s="27"/>
      <c r="R179" s="27"/>
      <c r="S179" s="27"/>
    </row>
    <row r="180">
      <c r="C180" s="9"/>
      <c r="D180" s="9"/>
      <c r="P180" s="9"/>
      <c r="Q180" s="27"/>
      <c r="R180" s="27"/>
      <c r="S180" s="27"/>
    </row>
    <row r="181">
      <c r="C181" s="9"/>
      <c r="D181" s="9"/>
      <c r="P181" s="9"/>
      <c r="Q181" s="27"/>
      <c r="R181" s="27"/>
      <c r="S181" s="27"/>
    </row>
    <row r="182">
      <c r="C182" s="9"/>
      <c r="D182" s="9"/>
      <c r="P182" s="9"/>
      <c r="Q182" s="27"/>
      <c r="R182" s="27"/>
      <c r="S182" s="27"/>
    </row>
    <row r="183">
      <c r="C183" s="9"/>
      <c r="D183" s="9"/>
      <c r="P183" s="9"/>
      <c r="Q183" s="27"/>
      <c r="R183" s="27"/>
      <c r="S183" s="27"/>
    </row>
    <row r="184">
      <c r="C184" s="9"/>
      <c r="D184" s="9"/>
      <c r="P184" s="9"/>
      <c r="Q184" s="27"/>
      <c r="R184" s="27"/>
      <c r="S184" s="27"/>
    </row>
    <row r="185">
      <c r="C185" s="9"/>
      <c r="D185" s="9"/>
      <c r="P185" s="9"/>
      <c r="Q185" s="27"/>
      <c r="R185" s="27"/>
      <c r="S185" s="27"/>
    </row>
    <row r="186">
      <c r="C186" s="9"/>
      <c r="D186" s="9"/>
      <c r="P186" s="9"/>
      <c r="Q186" s="27"/>
      <c r="R186" s="27"/>
      <c r="S186" s="27"/>
    </row>
    <row r="187">
      <c r="C187" s="9"/>
      <c r="D187" s="9"/>
      <c r="P187" s="9"/>
      <c r="Q187" s="27"/>
      <c r="R187" s="27"/>
      <c r="S187" s="27"/>
    </row>
    <row r="188">
      <c r="C188" s="9"/>
      <c r="D188" s="9"/>
      <c r="P188" s="9"/>
      <c r="Q188" s="27"/>
      <c r="R188" s="27"/>
      <c r="S188" s="27"/>
    </row>
    <row r="189">
      <c r="C189" s="9"/>
      <c r="D189" s="9"/>
      <c r="P189" s="9"/>
      <c r="Q189" s="27"/>
      <c r="R189" s="27"/>
      <c r="S189" s="27"/>
    </row>
    <row r="190">
      <c r="C190" s="9"/>
      <c r="D190" s="9"/>
      <c r="P190" s="9"/>
      <c r="Q190" s="27"/>
      <c r="R190" s="27"/>
      <c r="S190" s="27"/>
    </row>
    <row r="191">
      <c r="C191" s="9"/>
      <c r="D191" s="9"/>
      <c r="P191" s="9"/>
      <c r="Q191" s="27"/>
      <c r="R191" s="27"/>
      <c r="S191" s="27"/>
    </row>
    <row r="192">
      <c r="C192" s="9"/>
      <c r="D192" s="9"/>
      <c r="P192" s="9"/>
      <c r="Q192" s="27"/>
      <c r="R192" s="27"/>
      <c r="S192" s="27"/>
    </row>
    <row r="193">
      <c r="C193" s="9"/>
      <c r="D193" s="9"/>
      <c r="P193" s="9"/>
      <c r="Q193" s="27"/>
      <c r="R193" s="27"/>
      <c r="S193" s="27"/>
    </row>
    <row r="194">
      <c r="C194" s="9"/>
      <c r="D194" s="9"/>
      <c r="P194" s="9"/>
      <c r="Q194" s="27"/>
      <c r="R194" s="27"/>
      <c r="S194" s="27"/>
    </row>
    <row r="195">
      <c r="C195" s="9"/>
      <c r="D195" s="9"/>
      <c r="P195" s="9"/>
      <c r="Q195" s="27"/>
      <c r="R195" s="27"/>
      <c r="S195" s="27"/>
    </row>
    <row r="196">
      <c r="C196" s="9"/>
      <c r="D196" s="9"/>
      <c r="P196" s="9"/>
      <c r="Q196" s="27"/>
      <c r="R196" s="27"/>
      <c r="S196" s="27"/>
    </row>
    <row r="197">
      <c r="C197" s="9"/>
      <c r="D197" s="9"/>
      <c r="P197" s="9"/>
      <c r="Q197" s="27"/>
      <c r="R197" s="27"/>
      <c r="S197" s="27"/>
    </row>
    <row r="198">
      <c r="C198" s="9"/>
      <c r="D198" s="9"/>
      <c r="P198" s="9"/>
      <c r="Q198" s="27"/>
      <c r="R198" s="27"/>
      <c r="S198" s="27"/>
    </row>
    <row r="199">
      <c r="C199" s="9"/>
      <c r="D199" s="9"/>
      <c r="P199" s="9"/>
      <c r="Q199" s="27"/>
      <c r="R199" s="27"/>
      <c r="S199" s="27"/>
    </row>
    <row r="200">
      <c r="C200" s="9"/>
      <c r="D200" s="9"/>
      <c r="P200" s="9"/>
      <c r="Q200" s="27"/>
      <c r="R200" s="27"/>
      <c r="S200" s="27"/>
    </row>
    <row r="201">
      <c r="C201" s="9"/>
      <c r="D201" s="9"/>
      <c r="P201" s="9"/>
      <c r="Q201" s="27"/>
      <c r="R201" s="27"/>
      <c r="S201" s="27"/>
    </row>
    <row r="202">
      <c r="C202" s="9"/>
      <c r="D202" s="9"/>
      <c r="P202" s="9"/>
      <c r="Q202" s="27"/>
      <c r="R202" s="27"/>
      <c r="S202" s="27"/>
    </row>
    <row r="203">
      <c r="C203" s="9"/>
      <c r="D203" s="9"/>
      <c r="P203" s="9"/>
      <c r="Q203" s="27"/>
      <c r="R203" s="27"/>
      <c r="S203" s="27"/>
    </row>
    <row r="204">
      <c r="C204" s="9"/>
      <c r="D204" s="9"/>
      <c r="P204" s="9"/>
      <c r="Q204" s="27"/>
      <c r="R204" s="27"/>
      <c r="S204" s="27"/>
    </row>
    <row r="205">
      <c r="C205" s="9"/>
      <c r="D205" s="9"/>
      <c r="P205" s="9"/>
      <c r="Q205" s="27"/>
      <c r="R205" s="27"/>
      <c r="S205" s="27"/>
    </row>
    <row r="206">
      <c r="C206" s="9"/>
      <c r="D206" s="9"/>
      <c r="P206" s="9"/>
      <c r="Q206" s="27"/>
      <c r="R206" s="27"/>
      <c r="S206" s="27"/>
    </row>
    <row r="207">
      <c r="C207" s="9"/>
      <c r="D207" s="9"/>
      <c r="P207" s="9"/>
      <c r="Q207" s="27"/>
      <c r="R207" s="27"/>
      <c r="S207" s="27"/>
    </row>
    <row r="208">
      <c r="C208" s="9"/>
      <c r="D208" s="9"/>
      <c r="P208" s="9"/>
      <c r="Q208" s="27"/>
      <c r="R208" s="27"/>
      <c r="S208" s="27"/>
    </row>
    <row r="209">
      <c r="C209" s="9"/>
      <c r="D209" s="9"/>
      <c r="P209" s="9"/>
      <c r="Q209" s="27"/>
      <c r="R209" s="27"/>
      <c r="S209" s="27"/>
    </row>
    <row r="210">
      <c r="C210" s="9"/>
      <c r="D210" s="9"/>
      <c r="P210" s="9"/>
      <c r="Q210" s="27"/>
      <c r="R210" s="27"/>
      <c r="S210" s="27"/>
    </row>
    <row r="211">
      <c r="C211" s="9"/>
      <c r="D211" s="9"/>
      <c r="P211" s="9"/>
      <c r="Q211" s="27"/>
      <c r="R211" s="27"/>
      <c r="S211" s="27"/>
    </row>
    <row r="212">
      <c r="C212" s="9"/>
      <c r="D212" s="9"/>
      <c r="P212" s="9"/>
      <c r="Q212" s="27"/>
      <c r="R212" s="27"/>
      <c r="S212" s="27"/>
    </row>
    <row r="213">
      <c r="C213" s="9"/>
      <c r="D213" s="9"/>
      <c r="P213" s="9"/>
      <c r="Q213" s="27"/>
      <c r="R213" s="27"/>
      <c r="S213" s="27"/>
    </row>
    <row r="214">
      <c r="C214" s="9"/>
      <c r="D214" s="9"/>
      <c r="P214" s="9"/>
      <c r="Q214" s="27"/>
      <c r="R214" s="27"/>
      <c r="S214" s="27"/>
    </row>
    <row r="215">
      <c r="C215" s="9"/>
      <c r="D215" s="9"/>
      <c r="P215" s="9"/>
      <c r="Q215" s="27"/>
      <c r="R215" s="27"/>
      <c r="S215" s="27"/>
    </row>
    <row r="216">
      <c r="C216" s="9"/>
      <c r="D216" s="9"/>
      <c r="P216" s="9"/>
      <c r="Q216" s="27"/>
      <c r="R216" s="27"/>
      <c r="S216" s="27"/>
    </row>
    <row r="217">
      <c r="C217" s="9"/>
      <c r="D217" s="9"/>
      <c r="P217" s="9"/>
      <c r="Q217" s="27"/>
      <c r="R217" s="27"/>
      <c r="S217" s="27"/>
    </row>
    <row r="218">
      <c r="C218" s="9"/>
      <c r="D218" s="9"/>
      <c r="P218" s="9"/>
      <c r="Q218" s="27"/>
      <c r="R218" s="27"/>
      <c r="S218" s="27"/>
    </row>
    <row r="219">
      <c r="C219" s="9"/>
      <c r="D219" s="9"/>
      <c r="P219" s="9"/>
      <c r="Q219" s="27"/>
      <c r="R219" s="27"/>
      <c r="S219" s="27"/>
    </row>
    <row r="220">
      <c r="C220" s="9"/>
      <c r="D220" s="9"/>
      <c r="P220" s="9"/>
      <c r="Q220" s="27"/>
      <c r="R220" s="27"/>
      <c r="S220" s="27"/>
    </row>
    <row r="221">
      <c r="C221" s="9"/>
      <c r="D221" s="9"/>
      <c r="P221" s="9"/>
      <c r="Q221" s="27"/>
      <c r="R221" s="27"/>
      <c r="S221" s="27"/>
    </row>
    <row r="222">
      <c r="C222" s="9"/>
      <c r="D222" s="9"/>
      <c r="P222" s="9"/>
      <c r="Q222" s="27"/>
      <c r="R222" s="27"/>
      <c r="S222" s="27"/>
    </row>
    <row r="223">
      <c r="C223" s="9"/>
      <c r="D223" s="9"/>
      <c r="P223" s="9"/>
      <c r="Q223" s="27"/>
      <c r="R223" s="27"/>
      <c r="S223" s="27"/>
    </row>
    <row r="224">
      <c r="C224" s="9"/>
      <c r="D224" s="9"/>
      <c r="P224" s="9"/>
      <c r="Q224" s="27"/>
      <c r="R224" s="27"/>
      <c r="S224" s="27"/>
    </row>
    <row r="225">
      <c r="C225" s="9"/>
      <c r="D225" s="9"/>
      <c r="P225" s="9"/>
      <c r="Q225" s="27"/>
      <c r="R225" s="27"/>
      <c r="S225" s="27"/>
    </row>
    <row r="226">
      <c r="C226" s="9"/>
      <c r="D226" s="9"/>
      <c r="P226" s="9"/>
      <c r="Q226" s="27"/>
      <c r="R226" s="27"/>
      <c r="S226" s="27"/>
    </row>
    <row r="227">
      <c r="C227" s="9"/>
      <c r="D227" s="9"/>
      <c r="P227" s="9"/>
      <c r="Q227" s="27"/>
      <c r="R227" s="27"/>
      <c r="S227" s="27"/>
    </row>
    <row r="228">
      <c r="C228" s="9"/>
      <c r="D228" s="9"/>
      <c r="P228" s="9"/>
      <c r="Q228" s="27"/>
      <c r="R228" s="27"/>
      <c r="S228" s="27"/>
    </row>
    <row r="229">
      <c r="C229" s="9"/>
      <c r="D229" s="9"/>
      <c r="P229" s="9"/>
      <c r="Q229" s="27"/>
      <c r="R229" s="27"/>
      <c r="S229" s="27"/>
    </row>
    <row r="230">
      <c r="C230" s="9"/>
      <c r="D230" s="9"/>
      <c r="P230" s="9"/>
      <c r="Q230" s="27"/>
      <c r="R230" s="27"/>
      <c r="S230" s="27"/>
    </row>
    <row r="231">
      <c r="C231" s="9"/>
      <c r="D231" s="9"/>
      <c r="P231" s="9"/>
      <c r="Q231" s="27"/>
      <c r="R231" s="27"/>
      <c r="S231" s="27"/>
    </row>
    <row r="232">
      <c r="C232" s="9"/>
      <c r="D232" s="9"/>
      <c r="P232" s="9"/>
      <c r="Q232" s="27"/>
      <c r="R232" s="27"/>
      <c r="S232" s="27"/>
    </row>
    <row r="233">
      <c r="C233" s="9"/>
      <c r="D233" s="9"/>
      <c r="P233" s="9"/>
      <c r="Q233" s="27"/>
      <c r="R233" s="27"/>
      <c r="S233" s="27"/>
    </row>
    <row r="234">
      <c r="C234" s="9"/>
      <c r="D234" s="9"/>
      <c r="P234" s="9"/>
      <c r="Q234" s="27"/>
      <c r="R234" s="27"/>
      <c r="S234" s="27"/>
    </row>
    <row r="235">
      <c r="C235" s="9"/>
      <c r="D235" s="9"/>
      <c r="P235" s="9"/>
      <c r="Q235" s="27"/>
      <c r="R235" s="27"/>
      <c r="S235" s="27"/>
    </row>
    <row r="236">
      <c r="C236" s="9"/>
      <c r="D236" s="9"/>
      <c r="P236" s="9"/>
      <c r="Q236" s="27"/>
      <c r="R236" s="27"/>
      <c r="S236" s="27"/>
    </row>
    <row r="237">
      <c r="C237" s="9"/>
      <c r="D237" s="9"/>
      <c r="P237" s="9"/>
      <c r="Q237" s="27"/>
      <c r="R237" s="27"/>
      <c r="S237" s="27"/>
    </row>
    <row r="238">
      <c r="C238" s="9"/>
      <c r="D238" s="9"/>
      <c r="P238" s="9"/>
      <c r="Q238" s="27"/>
      <c r="R238" s="27"/>
      <c r="S238" s="27"/>
    </row>
    <row r="239">
      <c r="C239" s="9"/>
      <c r="D239" s="9"/>
      <c r="P239" s="9"/>
      <c r="Q239" s="27"/>
      <c r="R239" s="27"/>
      <c r="S239" s="27"/>
    </row>
    <row r="240">
      <c r="C240" s="9"/>
      <c r="D240" s="9"/>
      <c r="P240" s="9"/>
      <c r="Q240" s="27"/>
      <c r="R240" s="27"/>
      <c r="S240" s="27"/>
    </row>
    <row r="241">
      <c r="C241" s="9"/>
      <c r="D241" s="9"/>
      <c r="P241" s="9"/>
      <c r="Q241" s="27"/>
      <c r="R241" s="27"/>
      <c r="S241" s="27"/>
    </row>
    <row r="242">
      <c r="C242" s="9"/>
      <c r="D242" s="9"/>
      <c r="P242" s="9"/>
      <c r="Q242" s="27"/>
      <c r="R242" s="27"/>
      <c r="S242" s="27"/>
    </row>
    <row r="243">
      <c r="C243" s="9"/>
      <c r="D243" s="9"/>
      <c r="P243" s="9"/>
      <c r="Q243" s="27"/>
      <c r="R243" s="27"/>
      <c r="S243" s="27"/>
    </row>
    <row r="244">
      <c r="C244" s="9"/>
      <c r="D244" s="9"/>
      <c r="P244" s="9"/>
      <c r="Q244" s="27"/>
      <c r="R244" s="27"/>
      <c r="S244" s="27"/>
    </row>
    <row r="245">
      <c r="C245" s="9"/>
      <c r="D245" s="9"/>
      <c r="P245" s="9"/>
      <c r="Q245" s="27"/>
      <c r="R245" s="27"/>
      <c r="S245" s="27"/>
    </row>
    <row r="246">
      <c r="C246" s="9"/>
      <c r="D246" s="9"/>
      <c r="P246" s="9"/>
      <c r="Q246" s="27"/>
      <c r="R246" s="27"/>
      <c r="S246" s="27"/>
    </row>
    <row r="247">
      <c r="C247" s="9"/>
      <c r="D247" s="9"/>
      <c r="P247" s="9"/>
      <c r="Q247" s="27"/>
      <c r="R247" s="27"/>
      <c r="S247" s="27"/>
    </row>
    <row r="248">
      <c r="C248" s="9"/>
      <c r="D248" s="9"/>
      <c r="P248" s="9"/>
      <c r="Q248" s="27"/>
      <c r="R248" s="27"/>
      <c r="S248" s="27"/>
    </row>
    <row r="249">
      <c r="C249" s="9"/>
      <c r="D249" s="9"/>
      <c r="P249" s="9"/>
      <c r="Q249" s="27"/>
      <c r="R249" s="27"/>
      <c r="S249" s="27"/>
    </row>
    <row r="250">
      <c r="C250" s="9"/>
      <c r="D250" s="9"/>
      <c r="P250" s="9"/>
      <c r="Q250" s="27"/>
      <c r="R250" s="27"/>
      <c r="S250" s="27"/>
    </row>
    <row r="251">
      <c r="C251" s="9"/>
      <c r="D251" s="9"/>
      <c r="P251" s="9"/>
      <c r="Q251" s="27"/>
      <c r="R251" s="27"/>
      <c r="S251" s="27"/>
    </row>
    <row r="252">
      <c r="C252" s="9"/>
      <c r="D252" s="9"/>
      <c r="P252" s="9"/>
      <c r="Q252" s="27"/>
      <c r="R252" s="27"/>
      <c r="S252" s="27"/>
    </row>
    <row r="253">
      <c r="C253" s="9"/>
      <c r="D253" s="9"/>
      <c r="P253" s="9"/>
      <c r="Q253" s="27"/>
      <c r="R253" s="27"/>
      <c r="S253" s="27"/>
    </row>
    <row r="254">
      <c r="C254" s="9"/>
      <c r="D254" s="9"/>
      <c r="P254" s="9"/>
      <c r="Q254" s="27"/>
      <c r="R254" s="27"/>
      <c r="S254" s="27"/>
    </row>
    <row r="255">
      <c r="C255" s="9"/>
      <c r="D255" s="9"/>
      <c r="P255" s="9"/>
      <c r="Q255" s="27"/>
      <c r="R255" s="27"/>
      <c r="S255" s="27"/>
    </row>
    <row r="256">
      <c r="C256" s="9"/>
      <c r="D256" s="9"/>
      <c r="P256" s="9"/>
      <c r="Q256" s="27"/>
      <c r="R256" s="27"/>
      <c r="S256" s="27"/>
    </row>
    <row r="257">
      <c r="C257" s="9"/>
      <c r="D257" s="9"/>
      <c r="P257" s="9"/>
      <c r="Q257" s="27"/>
      <c r="R257" s="27"/>
      <c r="S257" s="27"/>
    </row>
    <row r="258">
      <c r="C258" s="9"/>
      <c r="D258" s="9"/>
      <c r="P258" s="9"/>
      <c r="Q258" s="27"/>
      <c r="R258" s="27"/>
      <c r="S258" s="27"/>
    </row>
    <row r="259">
      <c r="C259" s="9"/>
      <c r="D259" s="9"/>
      <c r="P259" s="9"/>
      <c r="Q259" s="27"/>
      <c r="R259" s="27"/>
      <c r="S259" s="27"/>
    </row>
    <row r="260">
      <c r="C260" s="9"/>
      <c r="D260" s="9"/>
      <c r="P260" s="9"/>
      <c r="Q260" s="27"/>
      <c r="R260" s="27"/>
      <c r="S260" s="27"/>
    </row>
    <row r="261">
      <c r="C261" s="9"/>
      <c r="D261" s="9"/>
      <c r="P261" s="9"/>
      <c r="Q261" s="27"/>
      <c r="R261" s="27"/>
      <c r="S261" s="27"/>
    </row>
    <row r="262">
      <c r="C262" s="9"/>
      <c r="D262" s="9"/>
      <c r="P262" s="9"/>
      <c r="Q262" s="27"/>
      <c r="R262" s="27"/>
      <c r="S262" s="27"/>
    </row>
    <row r="263">
      <c r="C263" s="9"/>
      <c r="D263" s="9"/>
      <c r="P263" s="9"/>
      <c r="Q263" s="27"/>
      <c r="R263" s="27"/>
      <c r="S263" s="27"/>
    </row>
    <row r="264">
      <c r="C264" s="9"/>
      <c r="D264" s="9"/>
      <c r="P264" s="9"/>
      <c r="Q264" s="27"/>
      <c r="R264" s="27"/>
      <c r="S264" s="27"/>
    </row>
    <row r="265">
      <c r="C265" s="9"/>
      <c r="D265" s="9"/>
      <c r="P265" s="9"/>
      <c r="Q265" s="27"/>
      <c r="R265" s="27"/>
      <c r="S265" s="27"/>
    </row>
    <row r="266">
      <c r="C266" s="9"/>
      <c r="D266" s="9"/>
      <c r="P266" s="9"/>
      <c r="Q266" s="27"/>
      <c r="R266" s="27"/>
      <c r="S266" s="27"/>
    </row>
    <row r="267">
      <c r="C267" s="9"/>
      <c r="D267" s="9"/>
      <c r="P267" s="9"/>
      <c r="Q267" s="27"/>
      <c r="R267" s="27"/>
      <c r="S267" s="27"/>
    </row>
    <row r="268">
      <c r="C268" s="9"/>
      <c r="D268" s="9"/>
      <c r="P268" s="9"/>
      <c r="Q268" s="27"/>
      <c r="R268" s="27"/>
      <c r="S268" s="27"/>
    </row>
    <row r="269">
      <c r="C269" s="9"/>
      <c r="D269" s="9"/>
      <c r="P269" s="9"/>
      <c r="Q269" s="27"/>
      <c r="R269" s="27"/>
      <c r="S269" s="27"/>
    </row>
    <row r="270">
      <c r="C270" s="9"/>
      <c r="D270" s="9"/>
      <c r="P270" s="9"/>
      <c r="Q270" s="27"/>
      <c r="R270" s="27"/>
      <c r="S270" s="27"/>
    </row>
    <row r="271">
      <c r="C271" s="9"/>
      <c r="D271" s="9"/>
      <c r="P271" s="9"/>
      <c r="Q271" s="27"/>
      <c r="R271" s="27"/>
      <c r="S271" s="27"/>
    </row>
    <row r="272">
      <c r="C272" s="9"/>
      <c r="D272" s="9"/>
      <c r="P272" s="9"/>
      <c r="Q272" s="27"/>
      <c r="R272" s="27"/>
      <c r="S272" s="27"/>
    </row>
    <row r="273">
      <c r="C273" s="9"/>
      <c r="D273" s="9"/>
      <c r="P273" s="9"/>
      <c r="Q273" s="27"/>
      <c r="R273" s="27"/>
      <c r="S273" s="27"/>
    </row>
    <row r="274">
      <c r="C274" s="9"/>
      <c r="D274" s="9"/>
      <c r="P274" s="9"/>
      <c r="Q274" s="27"/>
      <c r="R274" s="27"/>
      <c r="S274" s="27"/>
    </row>
    <row r="275">
      <c r="C275" s="9"/>
      <c r="D275" s="9"/>
      <c r="P275" s="9"/>
      <c r="Q275" s="27"/>
      <c r="R275" s="27"/>
      <c r="S275" s="27"/>
    </row>
    <row r="276">
      <c r="C276" s="9"/>
      <c r="D276" s="9"/>
      <c r="P276" s="9"/>
      <c r="Q276" s="27"/>
      <c r="R276" s="27"/>
      <c r="S276" s="27"/>
    </row>
    <row r="277">
      <c r="C277" s="9"/>
      <c r="D277" s="9"/>
      <c r="P277" s="9"/>
      <c r="Q277" s="27"/>
      <c r="R277" s="27"/>
      <c r="S277" s="27"/>
    </row>
    <row r="278">
      <c r="C278" s="9"/>
      <c r="D278" s="9"/>
      <c r="P278" s="9"/>
      <c r="Q278" s="27"/>
      <c r="R278" s="27"/>
      <c r="S278" s="27"/>
    </row>
    <row r="279">
      <c r="C279" s="9"/>
      <c r="D279" s="9"/>
      <c r="P279" s="9"/>
      <c r="Q279" s="27"/>
      <c r="R279" s="27"/>
      <c r="S279" s="27"/>
    </row>
    <row r="280">
      <c r="C280" s="9"/>
      <c r="D280" s="9"/>
      <c r="P280" s="9"/>
      <c r="Q280" s="27"/>
      <c r="R280" s="27"/>
      <c r="S280" s="27"/>
    </row>
    <row r="281">
      <c r="C281" s="9"/>
      <c r="D281" s="9"/>
      <c r="P281" s="9"/>
      <c r="Q281" s="27"/>
      <c r="R281" s="27"/>
      <c r="S281" s="27"/>
    </row>
    <row r="282">
      <c r="C282" s="9"/>
      <c r="D282" s="9"/>
      <c r="P282" s="9"/>
      <c r="Q282" s="27"/>
      <c r="R282" s="27"/>
      <c r="S282" s="27"/>
    </row>
    <row r="283">
      <c r="C283" s="9"/>
      <c r="D283" s="9"/>
      <c r="P283" s="9"/>
      <c r="Q283" s="27"/>
      <c r="R283" s="27"/>
      <c r="S283" s="27"/>
    </row>
    <row r="284">
      <c r="C284" s="9"/>
      <c r="D284" s="9"/>
      <c r="P284" s="9"/>
      <c r="Q284" s="27"/>
      <c r="R284" s="27"/>
      <c r="S284" s="27"/>
    </row>
    <row r="285">
      <c r="C285" s="9"/>
      <c r="D285" s="9"/>
      <c r="P285" s="9"/>
      <c r="Q285" s="27"/>
      <c r="R285" s="27"/>
      <c r="S285" s="27"/>
    </row>
    <row r="286">
      <c r="C286" s="9"/>
      <c r="D286" s="9"/>
      <c r="P286" s="9"/>
      <c r="Q286" s="27"/>
      <c r="R286" s="27"/>
      <c r="S286" s="27"/>
    </row>
    <row r="287">
      <c r="C287" s="9"/>
      <c r="D287" s="9"/>
      <c r="P287" s="9"/>
      <c r="Q287" s="27"/>
      <c r="R287" s="27"/>
      <c r="S287" s="27"/>
    </row>
    <row r="288">
      <c r="C288" s="9"/>
      <c r="D288" s="9"/>
      <c r="P288" s="9"/>
      <c r="Q288" s="27"/>
      <c r="R288" s="27"/>
      <c r="S288" s="27"/>
    </row>
    <row r="289">
      <c r="C289" s="9"/>
      <c r="D289" s="9"/>
      <c r="P289" s="9"/>
      <c r="Q289" s="27"/>
      <c r="R289" s="27"/>
      <c r="S289" s="27"/>
    </row>
    <row r="290">
      <c r="C290" s="9"/>
      <c r="D290" s="9"/>
      <c r="P290" s="9"/>
      <c r="Q290" s="27"/>
      <c r="R290" s="27"/>
      <c r="S290" s="27"/>
    </row>
    <row r="291">
      <c r="C291" s="9"/>
      <c r="D291" s="9"/>
      <c r="P291" s="9"/>
      <c r="Q291" s="27"/>
      <c r="R291" s="27"/>
      <c r="S291" s="27"/>
    </row>
    <row r="292">
      <c r="C292" s="9"/>
      <c r="D292" s="9"/>
      <c r="P292" s="9"/>
      <c r="Q292" s="27"/>
      <c r="R292" s="27"/>
      <c r="S292" s="27"/>
    </row>
    <row r="293">
      <c r="C293" s="9"/>
      <c r="D293" s="9"/>
      <c r="P293" s="9"/>
      <c r="Q293" s="27"/>
      <c r="R293" s="27"/>
      <c r="S293" s="27"/>
    </row>
    <row r="294">
      <c r="C294" s="9"/>
      <c r="D294" s="9"/>
      <c r="P294" s="9"/>
      <c r="Q294" s="27"/>
      <c r="R294" s="27"/>
      <c r="S294" s="27"/>
    </row>
    <row r="295">
      <c r="C295" s="9"/>
      <c r="D295" s="9"/>
      <c r="P295" s="9"/>
      <c r="Q295" s="27"/>
      <c r="R295" s="27"/>
      <c r="S295" s="27"/>
    </row>
    <row r="296">
      <c r="C296" s="9"/>
      <c r="D296" s="9"/>
      <c r="P296" s="9"/>
      <c r="Q296" s="27"/>
      <c r="R296" s="27"/>
      <c r="S296" s="27"/>
    </row>
    <row r="297">
      <c r="C297" s="9"/>
      <c r="D297" s="9"/>
      <c r="P297" s="9"/>
      <c r="Q297" s="27"/>
      <c r="R297" s="27"/>
      <c r="S297" s="27"/>
    </row>
    <row r="298">
      <c r="C298" s="9"/>
      <c r="D298" s="9"/>
      <c r="P298" s="9"/>
      <c r="Q298" s="27"/>
      <c r="R298" s="27"/>
      <c r="S298" s="27"/>
    </row>
    <row r="299">
      <c r="C299" s="9"/>
      <c r="D299" s="9"/>
      <c r="P299" s="9"/>
      <c r="Q299" s="27"/>
      <c r="R299" s="27"/>
      <c r="S299" s="27"/>
    </row>
    <row r="300">
      <c r="C300" s="9"/>
      <c r="D300" s="9"/>
      <c r="P300" s="9"/>
      <c r="Q300" s="27"/>
      <c r="R300" s="27"/>
      <c r="S300" s="27"/>
    </row>
    <row r="301">
      <c r="C301" s="9"/>
      <c r="D301" s="9"/>
      <c r="P301" s="9"/>
      <c r="Q301" s="27"/>
      <c r="R301" s="27"/>
      <c r="S301" s="27"/>
    </row>
    <row r="302">
      <c r="C302" s="9"/>
      <c r="D302" s="9"/>
      <c r="P302" s="9"/>
      <c r="Q302" s="27"/>
      <c r="R302" s="27"/>
      <c r="S302" s="27"/>
    </row>
    <row r="303">
      <c r="C303" s="9"/>
      <c r="D303" s="9"/>
      <c r="P303" s="9"/>
      <c r="Q303" s="27"/>
      <c r="R303" s="27"/>
      <c r="S303" s="27"/>
    </row>
    <row r="304">
      <c r="C304" s="9"/>
      <c r="D304" s="9"/>
      <c r="P304" s="9"/>
      <c r="Q304" s="27"/>
      <c r="R304" s="27"/>
      <c r="S304" s="27"/>
    </row>
    <row r="305">
      <c r="C305" s="9"/>
      <c r="D305" s="9"/>
      <c r="P305" s="9"/>
      <c r="Q305" s="27"/>
      <c r="R305" s="27"/>
      <c r="S305" s="27"/>
    </row>
    <row r="306">
      <c r="C306" s="9"/>
      <c r="D306" s="9"/>
      <c r="P306" s="9"/>
      <c r="Q306" s="27"/>
      <c r="R306" s="27"/>
      <c r="S306" s="27"/>
    </row>
    <row r="307">
      <c r="C307" s="9"/>
      <c r="D307" s="9"/>
      <c r="P307" s="9"/>
      <c r="Q307" s="27"/>
      <c r="R307" s="27"/>
      <c r="S307" s="27"/>
    </row>
    <row r="308">
      <c r="C308" s="9"/>
      <c r="D308" s="9"/>
      <c r="P308" s="9"/>
      <c r="Q308" s="27"/>
      <c r="R308" s="27"/>
      <c r="S308" s="27"/>
    </row>
    <row r="309">
      <c r="C309" s="9"/>
      <c r="D309" s="9"/>
      <c r="P309" s="9"/>
      <c r="Q309" s="27"/>
      <c r="R309" s="27"/>
      <c r="S309" s="27"/>
    </row>
    <row r="310">
      <c r="C310" s="9"/>
      <c r="D310" s="9"/>
      <c r="P310" s="9"/>
      <c r="Q310" s="27"/>
      <c r="R310" s="27"/>
      <c r="S310" s="27"/>
    </row>
    <row r="311">
      <c r="C311" s="9"/>
      <c r="D311" s="9"/>
      <c r="P311" s="9"/>
      <c r="Q311" s="27"/>
      <c r="R311" s="27"/>
      <c r="S311" s="27"/>
    </row>
    <row r="312">
      <c r="C312" s="9"/>
      <c r="D312" s="9"/>
      <c r="P312" s="9"/>
      <c r="Q312" s="27"/>
      <c r="R312" s="27"/>
      <c r="S312" s="27"/>
    </row>
    <row r="313">
      <c r="C313" s="9"/>
      <c r="D313" s="9"/>
      <c r="P313" s="9"/>
      <c r="Q313" s="27"/>
      <c r="R313" s="27"/>
      <c r="S313" s="27"/>
    </row>
    <row r="314">
      <c r="C314" s="9"/>
      <c r="D314" s="9"/>
      <c r="P314" s="9"/>
      <c r="Q314" s="27"/>
      <c r="R314" s="27"/>
      <c r="S314" s="27"/>
    </row>
    <row r="315">
      <c r="C315" s="9"/>
      <c r="D315" s="9"/>
      <c r="P315" s="9"/>
      <c r="Q315" s="27"/>
      <c r="R315" s="27"/>
      <c r="S315" s="27"/>
    </row>
    <row r="316">
      <c r="C316" s="9"/>
      <c r="D316" s="9"/>
      <c r="P316" s="9"/>
      <c r="Q316" s="27"/>
      <c r="R316" s="27"/>
      <c r="S316" s="27"/>
    </row>
    <row r="317">
      <c r="C317" s="9"/>
      <c r="D317" s="9"/>
      <c r="P317" s="9"/>
      <c r="Q317" s="27"/>
      <c r="R317" s="27"/>
      <c r="S317" s="27"/>
    </row>
    <row r="318">
      <c r="C318" s="9"/>
      <c r="D318" s="9"/>
      <c r="P318" s="9"/>
      <c r="Q318" s="27"/>
      <c r="R318" s="27"/>
      <c r="S318" s="27"/>
    </row>
    <row r="319">
      <c r="C319" s="9"/>
      <c r="D319" s="9"/>
      <c r="P319" s="9"/>
      <c r="Q319" s="27"/>
      <c r="R319" s="27"/>
      <c r="S319" s="27"/>
    </row>
    <row r="320">
      <c r="C320" s="9"/>
      <c r="D320" s="9"/>
      <c r="P320" s="9"/>
      <c r="Q320" s="27"/>
      <c r="R320" s="27"/>
      <c r="S320" s="27"/>
    </row>
    <row r="321">
      <c r="C321" s="9"/>
      <c r="D321" s="9"/>
      <c r="P321" s="9"/>
      <c r="Q321" s="27"/>
      <c r="R321" s="27"/>
      <c r="S321" s="27"/>
    </row>
    <row r="322">
      <c r="C322" s="9"/>
      <c r="D322" s="9"/>
      <c r="P322" s="9"/>
      <c r="Q322" s="27"/>
      <c r="R322" s="27"/>
      <c r="S322" s="27"/>
    </row>
    <row r="323">
      <c r="C323" s="9"/>
      <c r="D323" s="9"/>
      <c r="P323" s="9"/>
      <c r="Q323" s="27"/>
      <c r="R323" s="27"/>
      <c r="S323" s="27"/>
    </row>
    <row r="324">
      <c r="C324" s="9"/>
      <c r="D324" s="9"/>
      <c r="P324" s="9"/>
      <c r="Q324" s="27"/>
      <c r="R324" s="27"/>
      <c r="S324" s="27"/>
    </row>
    <row r="325">
      <c r="C325" s="9"/>
      <c r="D325" s="9"/>
      <c r="P325" s="9"/>
      <c r="Q325" s="27"/>
      <c r="R325" s="27"/>
      <c r="S325" s="27"/>
    </row>
    <row r="326">
      <c r="C326" s="9"/>
      <c r="D326" s="9"/>
      <c r="P326" s="9"/>
      <c r="Q326" s="27"/>
      <c r="R326" s="27"/>
      <c r="S326" s="27"/>
    </row>
    <row r="327">
      <c r="C327" s="9"/>
      <c r="D327" s="9"/>
      <c r="P327" s="9"/>
      <c r="Q327" s="27"/>
      <c r="R327" s="27"/>
      <c r="S327" s="27"/>
    </row>
    <row r="328">
      <c r="C328" s="9"/>
      <c r="D328" s="9"/>
      <c r="P328" s="9"/>
      <c r="Q328" s="27"/>
      <c r="R328" s="27"/>
      <c r="S328" s="27"/>
    </row>
    <row r="329">
      <c r="C329" s="9"/>
      <c r="D329" s="9"/>
      <c r="P329" s="9"/>
      <c r="Q329" s="27"/>
      <c r="R329" s="27"/>
      <c r="S329" s="27"/>
    </row>
    <row r="330">
      <c r="C330" s="9"/>
      <c r="D330" s="9"/>
      <c r="P330" s="9"/>
      <c r="Q330" s="27"/>
      <c r="R330" s="27"/>
      <c r="S330" s="27"/>
    </row>
    <row r="331">
      <c r="C331" s="9"/>
      <c r="D331" s="9"/>
      <c r="P331" s="9"/>
      <c r="Q331" s="27"/>
      <c r="R331" s="27"/>
      <c r="S331" s="27"/>
    </row>
    <row r="332">
      <c r="C332" s="9"/>
      <c r="D332" s="9"/>
      <c r="P332" s="9"/>
      <c r="Q332" s="27"/>
      <c r="R332" s="27"/>
      <c r="S332" s="27"/>
    </row>
    <row r="333">
      <c r="C333" s="9"/>
      <c r="D333" s="9"/>
      <c r="P333" s="9"/>
      <c r="Q333" s="27"/>
      <c r="R333" s="27"/>
      <c r="S333" s="27"/>
    </row>
    <row r="334">
      <c r="C334" s="9"/>
      <c r="D334" s="9"/>
      <c r="P334" s="9"/>
      <c r="Q334" s="27"/>
      <c r="R334" s="27"/>
      <c r="S334" s="27"/>
    </row>
    <row r="335">
      <c r="C335" s="9"/>
      <c r="D335" s="9"/>
      <c r="P335" s="9"/>
      <c r="Q335" s="27"/>
      <c r="R335" s="27"/>
      <c r="S335" s="27"/>
    </row>
    <row r="336">
      <c r="C336" s="9"/>
      <c r="D336" s="9"/>
      <c r="P336" s="9"/>
      <c r="Q336" s="27"/>
      <c r="R336" s="27"/>
      <c r="S336" s="27"/>
    </row>
    <row r="337">
      <c r="C337" s="9"/>
      <c r="D337" s="9"/>
      <c r="P337" s="9"/>
      <c r="Q337" s="27"/>
      <c r="R337" s="27"/>
      <c r="S337" s="27"/>
    </row>
    <row r="338">
      <c r="C338" s="9"/>
      <c r="D338" s="9"/>
      <c r="P338" s="9"/>
      <c r="Q338" s="27"/>
      <c r="R338" s="27"/>
      <c r="S338" s="27"/>
    </row>
    <row r="339">
      <c r="C339" s="9"/>
      <c r="D339" s="9"/>
      <c r="P339" s="9"/>
      <c r="Q339" s="27"/>
      <c r="R339" s="27"/>
      <c r="S339" s="27"/>
    </row>
    <row r="340">
      <c r="C340" s="9"/>
      <c r="D340" s="9"/>
      <c r="P340" s="9"/>
      <c r="Q340" s="27"/>
      <c r="R340" s="27"/>
      <c r="S340" s="27"/>
    </row>
    <row r="341">
      <c r="C341" s="9"/>
      <c r="D341" s="9"/>
      <c r="P341" s="9"/>
      <c r="Q341" s="27"/>
      <c r="R341" s="27"/>
      <c r="S341" s="27"/>
    </row>
    <row r="342">
      <c r="C342" s="9"/>
      <c r="D342" s="9"/>
      <c r="P342" s="9"/>
      <c r="Q342" s="27"/>
      <c r="R342" s="27"/>
      <c r="S342" s="27"/>
    </row>
    <row r="343">
      <c r="C343" s="9"/>
      <c r="D343" s="9"/>
      <c r="P343" s="9"/>
      <c r="Q343" s="27"/>
      <c r="R343" s="27"/>
      <c r="S343" s="27"/>
    </row>
    <row r="344">
      <c r="C344" s="9"/>
      <c r="D344" s="9"/>
      <c r="P344" s="9"/>
      <c r="Q344" s="27"/>
      <c r="R344" s="27"/>
      <c r="S344" s="27"/>
    </row>
    <row r="345">
      <c r="C345" s="9"/>
      <c r="D345" s="9"/>
      <c r="P345" s="9"/>
      <c r="Q345" s="27"/>
      <c r="R345" s="27"/>
      <c r="S345" s="27"/>
    </row>
    <row r="346">
      <c r="C346" s="9"/>
      <c r="D346" s="9"/>
      <c r="P346" s="9"/>
      <c r="Q346" s="27"/>
      <c r="R346" s="27"/>
      <c r="S346" s="27"/>
    </row>
    <row r="347">
      <c r="C347" s="9"/>
      <c r="D347" s="9"/>
      <c r="P347" s="9"/>
      <c r="Q347" s="27"/>
      <c r="R347" s="27"/>
      <c r="S347" s="27"/>
    </row>
    <row r="348">
      <c r="C348" s="9"/>
      <c r="D348" s="9"/>
      <c r="P348" s="9"/>
      <c r="Q348" s="27"/>
      <c r="R348" s="27"/>
      <c r="S348" s="27"/>
    </row>
    <row r="349">
      <c r="C349" s="9"/>
      <c r="D349" s="9"/>
      <c r="P349" s="9"/>
      <c r="Q349" s="27"/>
      <c r="R349" s="27"/>
      <c r="S349" s="27"/>
    </row>
    <row r="350">
      <c r="C350" s="9"/>
      <c r="D350" s="9"/>
      <c r="P350" s="9"/>
      <c r="Q350" s="27"/>
      <c r="R350" s="27"/>
      <c r="S350" s="27"/>
    </row>
    <row r="351">
      <c r="C351" s="9"/>
      <c r="D351" s="9"/>
      <c r="P351" s="9"/>
      <c r="Q351" s="27"/>
      <c r="R351" s="27"/>
      <c r="S351" s="27"/>
    </row>
    <row r="352">
      <c r="C352" s="9"/>
      <c r="D352" s="9"/>
      <c r="P352" s="9"/>
      <c r="Q352" s="27"/>
      <c r="R352" s="27"/>
      <c r="S352" s="27"/>
    </row>
    <row r="353">
      <c r="C353" s="9"/>
      <c r="D353" s="9"/>
      <c r="P353" s="9"/>
      <c r="Q353" s="27"/>
      <c r="R353" s="27"/>
      <c r="S353" s="27"/>
    </row>
    <row r="354">
      <c r="C354" s="9"/>
      <c r="D354" s="9"/>
      <c r="P354" s="9"/>
      <c r="Q354" s="27"/>
      <c r="R354" s="27"/>
      <c r="S354" s="27"/>
    </row>
    <row r="355">
      <c r="C355" s="9"/>
      <c r="D355" s="9"/>
      <c r="P355" s="9"/>
      <c r="Q355" s="27"/>
      <c r="R355" s="27"/>
      <c r="S355" s="27"/>
    </row>
    <row r="356">
      <c r="C356" s="9"/>
      <c r="D356" s="9"/>
      <c r="P356" s="9"/>
      <c r="Q356" s="27"/>
      <c r="R356" s="27"/>
      <c r="S356" s="27"/>
    </row>
    <row r="357">
      <c r="C357" s="9"/>
      <c r="D357" s="9"/>
      <c r="P357" s="9"/>
      <c r="Q357" s="27"/>
      <c r="R357" s="27"/>
      <c r="S357" s="27"/>
    </row>
    <row r="358">
      <c r="C358" s="9"/>
      <c r="D358" s="9"/>
      <c r="P358" s="9"/>
      <c r="Q358" s="27"/>
      <c r="R358" s="27"/>
      <c r="S358" s="27"/>
    </row>
    <row r="359">
      <c r="C359" s="9"/>
      <c r="D359" s="9"/>
      <c r="P359" s="9"/>
      <c r="Q359" s="27"/>
      <c r="R359" s="27"/>
      <c r="S359" s="27"/>
    </row>
    <row r="360">
      <c r="C360" s="9"/>
      <c r="D360" s="9"/>
      <c r="P360" s="9"/>
      <c r="Q360" s="27"/>
      <c r="R360" s="27"/>
      <c r="S360" s="27"/>
    </row>
    <row r="361">
      <c r="C361" s="9"/>
      <c r="D361" s="9"/>
      <c r="P361" s="9"/>
      <c r="Q361" s="27"/>
      <c r="R361" s="27"/>
      <c r="S361" s="27"/>
    </row>
    <row r="362">
      <c r="C362" s="9"/>
      <c r="D362" s="9"/>
      <c r="P362" s="9"/>
      <c r="Q362" s="27"/>
      <c r="R362" s="27"/>
      <c r="S362" s="27"/>
    </row>
    <row r="363">
      <c r="C363" s="9"/>
      <c r="D363" s="9"/>
      <c r="P363" s="9"/>
      <c r="Q363" s="27"/>
      <c r="R363" s="27"/>
      <c r="S363" s="27"/>
    </row>
    <row r="364">
      <c r="C364" s="9"/>
      <c r="D364" s="9"/>
      <c r="P364" s="9"/>
      <c r="Q364" s="27"/>
      <c r="R364" s="27"/>
      <c r="S364" s="27"/>
    </row>
    <row r="365">
      <c r="C365" s="9"/>
      <c r="D365" s="9"/>
      <c r="P365" s="9"/>
      <c r="Q365" s="27"/>
      <c r="R365" s="27"/>
      <c r="S365" s="27"/>
    </row>
    <row r="366">
      <c r="C366" s="9"/>
      <c r="D366" s="9"/>
      <c r="P366" s="9"/>
      <c r="Q366" s="27"/>
      <c r="R366" s="27"/>
      <c r="S366" s="27"/>
    </row>
    <row r="367">
      <c r="C367" s="9"/>
      <c r="D367" s="9"/>
      <c r="P367" s="9"/>
      <c r="Q367" s="27"/>
      <c r="R367" s="27"/>
      <c r="S367" s="27"/>
    </row>
    <row r="368">
      <c r="C368" s="9"/>
      <c r="D368" s="9"/>
      <c r="P368" s="9"/>
      <c r="Q368" s="27"/>
      <c r="R368" s="27"/>
      <c r="S368" s="27"/>
    </row>
    <row r="369">
      <c r="C369" s="9"/>
      <c r="D369" s="9"/>
      <c r="P369" s="9"/>
      <c r="Q369" s="27"/>
      <c r="R369" s="27"/>
      <c r="S369" s="27"/>
    </row>
    <row r="370">
      <c r="C370" s="9"/>
      <c r="D370" s="9"/>
      <c r="P370" s="9"/>
      <c r="Q370" s="27"/>
      <c r="R370" s="27"/>
      <c r="S370" s="27"/>
    </row>
    <row r="371">
      <c r="C371" s="9"/>
      <c r="D371" s="9"/>
      <c r="P371" s="9"/>
      <c r="Q371" s="27"/>
      <c r="R371" s="27"/>
      <c r="S371" s="27"/>
    </row>
    <row r="372">
      <c r="C372" s="9"/>
      <c r="D372" s="9"/>
      <c r="P372" s="9"/>
      <c r="Q372" s="27"/>
      <c r="R372" s="27"/>
      <c r="S372" s="27"/>
    </row>
    <row r="373">
      <c r="C373" s="9"/>
      <c r="D373" s="9"/>
      <c r="P373" s="9"/>
      <c r="Q373" s="27"/>
      <c r="R373" s="27"/>
      <c r="S373" s="27"/>
    </row>
    <row r="374">
      <c r="C374" s="9"/>
      <c r="D374" s="9"/>
      <c r="P374" s="9"/>
      <c r="Q374" s="27"/>
      <c r="R374" s="27"/>
      <c r="S374" s="27"/>
    </row>
    <row r="375">
      <c r="C375" s="9"/>
      <c r="D375" s="9"/>
      <c r="P375" s="9"/>
      <c r="Q375" s="27"/>
      <c r="R375" s="27"/>
      <c r="S375" s="27"/>
    </row>
    <row r="376">
      <c r="C376" s="9"/>
      <c r="D376" s="9"/>
      <c r="P376" s="9"/>
      <c r="Q376" s="27"/>
      <c r="R376" s="27"/>
      <c r="S376" s="27"/>
    </row>
    <row r="377">
      <c r="C377" s="9"/>
      <c r="D377" s="9"/>
      <c r="P377" s="9"/>
      <c r="Q377" s="27"/>
      <c r="R377" s="27"/>
      <c r="S377" s="27"/>
    </row>
    <row r="378">
      <c r="C378" s="9"/>
      <c r="D378" s="9"/>
      <c r="P378" s="9"/>
      <c r="Q378" s="27"/>
      <c r="R378" s="27"/>
      <c r="S378" s="27"/>
    </row>
    <row r="379">
      <c r="C379" s="9"/>
      <c r="D379" s="9"/>
      <c r="P379" s="9"/>
      <c r="Q379" s="27"/>
      <c r="R379" s="27"/>
      <c r="S379" s="27"/>
    </row>
    <row r="380">
      <c r="C380" s="9"/>
      <c r="D380" s="9"/>
      <c r="P380" s="9"/>
      <c r="Q380" s="27"/>
      <c r="R380" s="27"/>
      <c r="S380" s="27"/>
    </row>
    <row r="381">
      <c r="C381" s="9"/>
      <c r="D381" s="9"/>
      <c r="P381" s="9"/>
      <c r="Q381" s="27"/>
      <c r="R381" s="27"/>
      <c r="S381" s="27"/>
    </row>
    <row r="382">
      <c r="C382" s="9"/>
      <c r="D382" s="9"/>
      <c r="P382" s="9"/>
      <c r="Q382" s="27"/>
      <c r="R382" s="27"/>
      <c r="S382" s="27"/>
    </row>
    <row r="383">
      <c r="C383" s="9"/>
      <c r="D383" s="9"/>
      <c r="P383" s="9"/>
      <c r="Q383" s="27"/>
      <c r="R383" s="27"/>
      <c r="S383" s="27"/>
    </row>
    <row r="384">
      <c r="C384" s="9"/>
      <c r="D384" s="9"/>
      <c r="P384" s="9"/>
      <c r="Q384" s="27"/>
      <c r="R384" s="27"/>
      <c r="S384" s="27"/>
    </row>
    <row r="385">
      <c r="C385" s="9"/>
      <c r="D385" s="9"/>
      <c r="P385" s="9"/>
      <c r="Q385" s="27"/>
      <c r="R385" s="27"/>
      <c r="S385" s="27"/>
    </row>
    <row r="386">
      <c r="C386" s="9"/>
      <c r="D386" s="9"/>
      <c r="P386" s="9"/>
      <c r="Q386" s="27"/>
      <c r="R386" s="27"/>
      <c r="S386" s="27"/>
    </row>
    <row r="387">
      <c r="C387" s="9"/>
      <c r="D387" s="9"/>
      <c r="P387" s="9"/>
      <c r="Q387" s="27"/>
      <c r="R387" s="27"/>
      <c r="S387" s="27"/>
    </row>
    <row r="388">
      <c r="C388" s="9"/>
      <c r="D388" s="9"/>
      <c r="P388" s="9"/>
      <c r="Q388" s="27"/>
      <c r="R388" s="27"/>
      <c r="S388" s="27"/>
    </row>
    <row r="389">
      <c r="C389" s="9"/>
      <c r="D389" s="9"/>
      <c r="P389" s="9"/>
      <c r="Q389" s="27"/>
      <c r="R389" s="27"/>
      <c r="S389" s="27"/>
    </row>
    <row r="390">
      <c r="C390" s="9"/>
      <c r="D390" s="9"/>
      <c r="P390" s="9"/>
      <c r="Q390" s="27"/>
      <c r="R390" s="27"/>
      <c r="S390" s="27"/>
    </row>
    <row r="391">
      <c r="C391" s="9"/>
      <c r="D391" s="9"/>
      <c r="P391" s="9"/>
      <c r="Q391" s="27"/>
      <c r="R391" s="27"/>
      <c r="S391" s="27"/>
    </row>
    <row r="392">
      <c r="C392" s="9"/>
      <c r="D392" s="9"/>
      <c r="P392" s="9"/>
      <c r="Q392" s="27"/>
      <c r="R392" s="27"/>
      <c r="S392" s="27"/>
    </row>
    <row r="393">
      <c r="C393" s="9"/>
      <c r="D393" s="9"/>
      <c r="P393" s="9"/>
      <c r="Q393" s="27"/>
      <c r="R393" s="27"/>
      <c r="S393" s="27"/>
    </row>
    <row r="394">
      <c r="C394" s="9"/>
      <c r="D394" s="9"/>
      <c r="P394" s="9"/>
      <c r="Q394" s="27"/>
      <c r="R394" s="27"/>
      <c r="S394" s="27"/>
    </row>
    <row r="395">
      <c r="C395" s="9"/>
      <c r="D395" s="9"/>
      <c r="P395" s="9"/>
      <c r="Q395" s="27"/>
      <c r="R395" s="27"/>
      <c r="S395" s="27"/>
    </row>
    <row r="396">
      <c r="C396" s="9"/>
      <c r="D396" s="9"/>
      <c r="P396" s="9"/>
      <c r="Q396" s="27"/>
      <c r="R396" s="27"/>
      <c r="S396" s="27"/>
    </row>
    <row r="397">
      <c r="C397" s="9"/>
      <c r="D397" s="9"/>
      <c r="P397" s="9"/>
      <c r="Q397" s="27"/>
      <c r="R397" s="27"/>
      <c r="S397" s="27"/>
    </row>
    <row r="398">
      <c r="C398" s="9"/>
      <c r="D398" s="9"/>
      <c r="P398" s="9"/>
      <c r="Q398" s="27"/>
      <c r="R398" s="27"/>
      <c r="S398" s="27"/>
    </row>
    <row r="399">
      <c r="C399" s="9"/>
      <c r="D399" s="9"/>
      <c r="P399" s="9"/>
      <c r="Q399" s="27"/>
      <c r="R399" s="27"/>
      <c r="S399" s="27"/>
    </row>
    <row r="400">
      <c r="C400" s="9"/>
      <c r="D400" s="9"/>
      <c r="P400" s="9"/>
      <c r="Q400" s="27"/>
      <c r="R400" s="27"/>
      <c r="S400" s="27"/>
    </row>
    <row r="401">
      <c r="C401" s="9"/>
      <c r="D401" s="9"/>
      <c r="P401" s="9"/>
      <c r="Q401" s="27"/>
      <c r="R401" s="27"/>
      <c r="S401" s="27"/>
    </row>
    <row r="402">
      <c r="C402" s="9"/>
      <c r="D402" s="9"/>
      <c r="P402" s="9"/>
      <c r="Q402" s="27"/>
      <c r="R402" s="27"/>
      <c r="S402" s="27"/>
    </row>
    <row r="403">
      <c r="C403" s="9"/>
      <c r="D403" s="9"/>
      <c r="P403" s="9"/>
      <c r="Q403" s="27"/>
      <c r="R403" s="27"/>
      <c r="S403" s="27"/>
    </row>
    <row r="404">
      <c r="C404" s="9"/>
      <c r="D404" s="9"/>
      <c r="P404" s="9"/>
      <c r="Q404" s="27"/>
      <c r="R404" s="27"/>
      <c r="S404" s="27"/>
    </row>
    <row r="405">
      <c r="C405" s="9"/>
      <c r="D405" s="9"/>
      <c r="P405" s="9"/>
      <c r="Q405" s="27"/>
      <c r="R405" s="27"/>
      <c r="S405" s="27"/>
    </row>
    <row r="406">
      <c r="C406" s="9"/>
      <c r="D406" s="9"/>
      <c r="P406" s="9"/>
      <c r="Q406" s="27"/>
      <c r="R406" s="27"/>
      <c r="S406" s="27"/>
    </row>
    <row r="407">
      <c r="C407" s="9"/>
      <c r="D407" s="9"/>
      <c r="P407" s="9"/>
      <c r="Q407" s="27"/>
      <c r="R407" s="27"/>
      <c r="S407" s="27"/>
    </row>
    <row r="408">
      <c r="C408" s="9"/>
      <c r="D408" s="9"/>
      <c r="P408" s="9"/>
      <c r="Q408" s="27"/>
      <c r="R408" s="27"/>
      <c r="S408" s="27"/>
    </row>
    <row r="409">
      <c r="C409" s="9"/>
      <c r="D409" s="9"/>
      <c r="P409" s="9"/>
      <c r="Q409" s="27"/>
      <c r="R409" s="27"/>
      <c r="S409" s="27"/>
    </row>
    <row r="410">
      <c r="C410" s="9"/>
      <c r="D410" s="9"/>
      <c r="P410" s="9"/>
      <c r="Q410" s="27"/>
      <c r="R410" s="27"/>
      <c r="S410" s="27"/>
    </row>
    <row r="411">
      <c r="C411" s="9"/>
      <c r="D411" s="9"/>
      <c r="P411" s="9"/>
      <c r="Q411" s="27"/>
      <c r="R411" s="27"/>
      <c r="S411" s="27"/>
    </row>
    <row r="412">
      <c r="C412" s="9"/>
      <c r="D412" s="9"/>
      <c r="P412" s="9"/>
      <c r="Q412" s="27"/>
      <c r="R412" s="27"/>
      <c r="S412" s="27"/>
    </row>
    <row r="413">
      <c r="C413" s="9"/>
      <c r="D413" s="9"/>
      <c r="P413" s="9"/>
      <c r="Q413" s="27"/>
      <c r="R413" s="27"/>
      <c r="S413" s="27"/>
    </row>
    <row r="414">
      <c r="C414" s="9"/>
      <c r="D414" s="9"/>
      <c r="P414" s="9"/>
      <c r="Q414" s="27"/>
      <c r="R414" s="27"/>
      <c r="S414" s="27"/>
    </row>
    <row r="415">
      <c r="C415" s="9"/>
      <c r="D415" s="9"/>
      <c r="P415" s="9"/>
      <c r="Q415" s="27"/>
      <c r="R415" s="27"/>
      <c r="S415" s="27"/>
    </row>
    <row r="416">
      <c r="C416" s="9"/>
      <c r="D416" s="9"/>
      <c r="P416" s="9"/>
      <c r="Q416" s="27"/>
      <c r="R416" s="27"/>
      <c r="S416" s="27"/>
    </row>
    <row r="417">
      <c r="C417" s="9"/>
      <c r="D417" s="9"/>
      <c r="P417" s="9"/>
      <c r="Q417" s="27"/>
      <c r="R417" s="27"/>
      <c r="S417" s="27"/>
    </row>
    <row r="418">
      <c r="C418" s="9"/>
      <c r="D418" s="9"/>
      <c r="P418" s="9"/>
      <c r="Q418" s="27"/>
      <c r="R418" s="27"/>
      <c r="S418" s="27"/>
    </row>
    <row r="419">
      <c r="C419" s="9"/>
      <c r="D419" s="9"/>
      <c r="P419" s="9"/>
      <c r="Q419" s="27"/>
      <c r="R419" s="27"/>
      <c r="S419" s="27"/>
    </row>
    <row r="420">
      <c r="C420" s="9"/>
      <c r="D420" s="9"/>
      <c r="P420" s="9"/>
      <c r="Q420" s="27"/>
      <c r="R420" s="27"/>
      <c r="S420" s="27"/>
    </row>
    <row r="421">
      <c r="C421" s="9"/>
      <c r="D421" s="9"/>
      <c r="P421" s="9"/>
      <c r="Q421" s="27"/>
      <c r="R421" s="27"/>
      <c r="S421" s="27"/>
    </row>
    <row r="422">
      <c r="C422" s="9"/>
      <c r="D422" s="9"/>
      <c r="P422" s="9"/>
      <c r="Q422" s="27"/>
      <c r="R422" s="27"/>
      <c r="S422" s="27"/>
    </row>
    <row r="423">
      <c r="C423" s="9"/>
      <c r="D423" s="9"/>
      <c r="P423" s="9"/>
      <c r="Q423" s="27"/>
      <c r="R423" s="27"/>
      <c r="S423" s="27"/>
    </row>
    <row r="424">
      <c r="C424" s="9"/>
      <c r="D424" s="9"/>
      <c r="P424" s="9"/>
      <c r="Q424" s="27"/>
      <c r="R424" s="27"/>
      <c r="S424" s="27"/>
    </row>
    <row r="425">
      <c r="C425" s="9"/>
      <c r="D425" s="9"/>
      <c r="P425" s="9"/>
      <c r="Q425" s="27"/>
      <c r="R425" s="27"/>
      <c r="S425" s="27"/>
    </row>
    <row r="426">
      <c r="C426" s="9"/>
      <c r="D426" s="9"/>
      <c r="P426" s="9"/>
      <c r="Q426" s="27"/>
      <c r="R426" s="27"/>
      <c r="S426" s="27"/>
    </row>
    <row r="427">
      <c r="C427" s="9"/>
      <c r="D427" s="9"/>
      <c r="P427" s="9"/>
      <c r="Q427" s="27"/>
      <c r="R427" s="27"/>
      <c r="S427" s="27"/>
    </row>
    <row r="428">
      <c r="C428" s="9"/>
      <c r="D428" s="9"/>
      <c r="P428" s="9"/>
      <c r="Q428" s="27"/>
      <c r="R428" s="27"/>
      <c r="S428" s="27"/>
    </row>
    <row r="429">
      <c r="C429" s="9"/>
      <c r="D429" s="9"/>
      <c r="P429" s="9"/>
      <c r="Q429" s="27"/>
      <c r="R429" s="27"/>
      <c r="S429" s="27"/>
    </row>
    <row r="430">
      <c r="C430" s="9"/>
      <c r="D430" s="9"/>
      <c r="P430" s="9"/>
      <c r="Q430" s="27"/>
      <c r="R430" s="27"/>
      <c r="S430" s="27"/>
    </row>
    <row r="431">
      <c r="C431" s="9"/>
      <c r="D431" s="9"/>
      <c r="P431" s="9"/>
      <c r="Q431" s="27"/>
      <c r="R431" s="27"/>
      <c r="S431" s="27"/>
    </row>
    <row r="432">
      <c r="C432" s="9"/>
      <c r="D432" s="9"/>
      <c r="P432" s="9"/>
      <c r="Q432" s="27"/>
      <c r="R432" s="27"/>
      <c r="S432" s="27"/>
    </row>
    <row r="433">
      <c r="C433" s="9"/>
      <c r="D433" s="9"/>
      <c r="P433" s="9"/>
      <c r="Q433" s="27"/>
      <c r="R433" s="27"/>
      <c r="S433" s="27"/>
    </row>
    <row r="434">
      <c r="C434" s="9"/>
      <c r="D434" s="9"/>
      <c r="P434" s="9"/>
      <c r="Q434" s="27"/>
      <c r="R434" s="27"/>
      <c r="S434" s="27"/>
    </row>
    <row r="435">
      <c r="C435" s="9"/>
      <c r="D435" s="9"/>
      <c r="P435" s="9"/>
      <c r="Q435" s="27"/>
      <c r="R435" s="27"/>
      <c r="S435" s="27"/>
    </row>
    <row r="436">
      <c r="C436" s="9"/>
      <c r="D436" s="9"/>
      <c r="P436" s="9"/>
      <c r="Q436" s="27"/>
      <c r="R436" s="27"/>
      <c r="S436" s="27"/>
    </row>
    <row r="437">
      <c r="C437" s="9"/>
      <c r="D437" s="9"/>
      <c r="P437" s="9"/>
      <c r="Q437" s="27"/>
      <c r="R437" s="27"/>
      <c r="S437" s="27"/>
    </row>
    <row r="438">
      <c r="C438" s="9"/>
      <c r="D438" s="9"/>
      <c r="P438" s="9"/>
      <c r="Q438" s="27"/>
      <c r="R438" s="27"/>
      <c r="S438" s="27"/>
    </row>
    <row r="439">
      <c r="C439" s="9"/>
      <c r="D439" s="9"/>
      <c r="P439" s="9"/>
      <c r="Q439" s="27"/>
      <c r="R439" s="27"/>
      <c r="S439" s="27"/>
    </row>
    <row r="440">
      <c r="C440" s="9"/>
      <c r="D440" s="9"/>
      <c r="P440" s="9"/>
      <c r="Q440" s="27"/>
      <c r="R440" s="27"/>
      <c r="S440" s="27"/>
    </row>
    <row r="441">
      <c r="C441" s="9"/>
      <c r="D441" s="9"/>
      <c r="P441" s="9"/>
      <c r="Q441" s="27"/>
      <c r="R441" s="27"/>
      <c r="S441" s="27"/>
    </row>
    <row r="442">
      <c r="C442" s="9"/>
      <c r="D442" s="9"/>
      <c r="P442" s="9"/>
      <c r="Q442" s="27"/>
      <c r="R442" s="27"/>
      <c r="S442" s="27"/>
    </row>
    <row r="443">
      <c r="C443" s="9"/>
      <c r="D443" s="9"/>
      <c r="P443" s="9"/>
      <c r="Q443" s="27"/>
      <c r="R443" s="27"/>
      <c r="S443" s="27"/>
    </row>
    <row r="444">
      <c r="C444" s="9"/>
      <c r="D444" s="9"/>
      <c r="P444" s="9"/>
      <c r="Q444" s="27"/>
      <c r="R444" s="27"/>
      <c r="S444" s="27"/>
    </row>
    <row r="445">
      <c r="C445" s="9"/>
      <c r="D445" s="9"/>
      <c r="P445" s="9"/>
      <c r="Q445" s="27"/>
      <c r="R445" s="27"/>
      <c r="S445" s="27"/>
    </row>
    <row r="446">
      <c r="C446" s="9"/>
      <c r="D446" s="9"/>
      <c r="P446" s="9"/>
      <c r="Q446" s="27"/>
      <c r="R446" s="27"/>
      <c r="S446" s="27"/>
    </row>
    <row r="447">
      <c r="C447" s="9"/>
      <c r="D447" s="9"/>
      <c r="P447" s="9"/>
      <c r="Q447" s="27"/>
      <c r="R447" s="27"/>
      <c r="S447" s="27"/>
    </row>
    <row r="448">
      <c r="C448" s="9"/>
      <c r="D448" s="9"/>
      <c r="P448" s="9"/>
      <c r="Q448" s="27"/>
      <c r="R448" s="27"/>
      <c r="S448" s="27"/>
    </row>
    <row r="449">
      <c r="C449" s="9"/>
      <c r="D449" s="9"/>
      <c r="P449" s="9"/>
      <c r="Q449" s="27"/>
      <c r="R449" s="27"/>
      <c r="S449" s="27"/>
    </row>
    <row r="450">
      <c r="C450" s="9"/>
      <c r="D450" s="9"/>
      <c r="P450" s="9"/>
      <c r="Q450" s="27"/>
      <c r="R450" s="27"/>
      <c r="S450" s="27"/>
    </row>
    <row r="451">
      <c r="C451" s="9"/>
      <c r="D451" s="9"/>
      <c r="P451" s="9"/>
      <c r="Q451" s="27"/>
      <c r="R451" s="27"/>
      <c r="S451" s="27"/>
    </row>
    <row r="452">
      <c r="C452" s="9"/>
      <c r="D452" s="9"/>
      <c r="P452" s="9"/>
      <c r="Q452" s="27"/>
      <c r="R452" s="27"/>
      <c r="S452" s="27"/>
    </row>
    <row r="453">
      <c r="C453" s="9"/>
      <c r="D453" s="9"/>
      <c r="P453" s="9"/>
      <c r="Q453" s="27"/>
      <c r="R453" s="27"/>
      <c r="S453" s="27"/>
    </row>
    <row r="454">
      <c r="C454" s="9"/>
      <c r="D454" s="9"/>
      <c r="P454" s="9"/>
      <c r="Q454" s="27"/>
      <c r="R454" s="27"/>
      <c r="S454" s="27"/>
    </row>
    <row r="455">
      <c r="C455" s="9"/>
      <c r="D455" s="9"/>
      <c r="P455" s="9"/>
      <c r="Q455" s="27"/>
      <c r="R455" s="27"/>
      <c r="S455" s="27"/>
    </row>
    <row r="456">
      <c r="C456" s="9"/>
      <c r="D456" s="9"/>
      <c r="P456" s="9"/>
      <c r="Q456" s="27"/>
      <c r="R456" s="27"/>
      <c r="S456" s="27"/>
    </row>
    <row r="457">
      <c r="C457" s="9"/>
      <c r="D457" s="9"/>
      <c r="P457" s="9"/>
      <c r="Q457" s="27"/>
      <c r="R457" s="27"/>
      <c r="S457" s="27"/>
    </row>
    <row r="458">
      <c r="C458" s="9"/>
      <c r="D458" s="9"/>
      <c r="P458" s="9"/>
      <c r="Q458" s="27"/>
      <c r="R458" s="27"/>
      <c r="S458" s="27"/>
    </row>
    <row r="459">
      <c r="C459" s="9"/>
      <c r="D459" s="9"/>
      <c r="P459" s="9"/>
      <c r="Q459" s="27"/>
      <c r="R459" s="27"/>
      <c r="S459" s="27"/>
    </row>
    <row r="460">
      <c r="C460" s="9"/>
      <c r="D460" s="9"/>
      <c r="P460" s="9"/>
      <c r="Q460" s="27"/>
      <c r="R460" s="27"/>
      <c r="S460" s="27"/>
    </row>
    <row r="461">
      <c r="C461" s="9"/>
      <c r="D461" s="9"/>
      <c r="P461" s="9"/>
      <c r="Q461" s="27"/>
      <c r="R461" s="27"/>
      <c r="S461" s="27"/>
    </row>
    <row r="462">
      <c r="C462" s="9"/>
      <c r="D462" s="9"/>
      <c r="P462" s="9"/>
      <c r="Q462" s="27"/>
      <c r="R462" s="27"/>
      <c r="S462" s="27"/>
    </row>
    <row r="463">
      <c r="C463" s="9"/>
      <c r="D463" s="9"/>
      <c r="P463" s="9"/>
      <c r="Q463" s="27"/>
      <c r="R463" s="27"/>
      <c r="S463" s="27"/>
    </row>
    <row r="464">
      <c r="C464" s="9"/>
      <c r="D464" s="9"/>
      <c r="P464" s="9"/>
      <c r="Q464" s="27"/>
      <c r="R464" s="27"/>
      <c r="S464" s="27"/>
    </row>
    <row r="465">
      <c r="C465" s="9"/>
      <c r="D465" s="9"/>
      <c r="P465" s="9"/>
      <c r="Q465" s="27"/>
      <c r="R465" s="27"/>
      <c r="S465" s="27"/>
    </row>
    <row r="466">
      <c r="C466" s="9"/>
      <c r="D466" s="9"/>
      <c r="P466" s="9"/>
      <c r="Q466" s="27"/>
      <c r="R466" s="27"/>
      <c r="S466" s="27"/>
    </row>
    <row r="467">
      <c r="C467" s="9"/>
      <c r="D467" s="9"/>
      <c r="P467" s="9"/>
      <c r="Q467" s="27"/>
      <c r="R467" s="27"/>
      <c r="S467" s="27"/>
    </row>
    <row r="468">
      <c r="C468" s="9"/>
      <c r="D468" s="9"/>
      <c r="P468" s="9"/>
      <c r="Q468" s="27"/>
      <c r="R468" s="27"/>
      <c r="S468" s="27"/>
    </row>
    <row r="469">
      <c r="C469" s="9"/>
      <c r="D469" s="9"/>
      <c r="P469" s="9"/>
      <c r="Q469" s="27"/>
      <c r="R469" s="27"/>
      <c r="S469" s="27"/>
    </row>
    <row r="470">
      <c r="C470" s="9"/>
      <c r="D470" s="9"/>
      <c r="P470" s="9"/>
      <c r="Q470" s="27"/>
      <c r="R470" s="27"/>
      <c r="S470" s="27"/>
    </row>
    <row r="471">
      <c r="C471" s="9"/>
      <c r="D471" s="9"/>
      <c r="P471" s="9"/>
      <c r="Q471" s="27"/>
      <c r="R471" s="27"/>
      <c r="S471" s="27"/>
    </row>
    <row r="472">
      <c r="C472" s="9"/>
      <c r="D472" s="9"/>
      <c r="P472" s="9"/>
      <c r="Q472" s="27"/>
      <c r="R472" s="27"/>
      <c r="S472" s="27"/>
    </row>
    <row r="473">
      <c r="C473" s="9"/>
      <c r="D473" s="9"/>
      <c r="P473" s="9"/>
      <c r="Q473" s="27"/>
      <c r="R473" s="27"/>
      <c r="S473" s="27"/>
    </row>
    <row r="474">
      <c r="C474" s="9"/>
      <c r="D474" s="9"/>
      <c r="P474" s="9"/>
      <c r="Q474" s="27"/>
      <c r="R474" s="27"/>
      <c r="S474" s="27"/>
    </row>
    <row r="475">
      <c r="C475" s="9"/>
      <c r="D475" s="9"/>
      <c r="P475" s="9"/>
      <c r="Q475" s="27"/>
      <c r="R475" s="27"/>
      <c r="S475" s="27"/>
    </row>
    <row r="476">
      <c r="C476" s="9"/>
      <c r="D476" s="9"/>
      <c r="P476" s="9"/>
      <c r="Q476" s="27"/>
      <c r="R476" s="27"/>
      <c r="S476" s="27"/>
    </row>
    <row r="477">
      <c r="C477" s="9"/>
      <c r="D477" s="9"/>
      <c r="P477" s="9"/>
      <c r="Q477" s="27"/>
      <c r="R477" s="27"/>
      <c r="S477" s="27"/>
    </row>
    <row r="478">
      <c r="C478" s="9"/>
      <c r="D478" s="9"/>
      <c r="P478" s="9"/>
      <c r="Q478" s="27"/>
      <c r="R478" s="27"/>
      <c r="S478" s="27"/>
    </row>
    <row r="479">
      <c r="C479" s="9"/>
      <c r="D479" s="9"/>
      <c r="P479" s="9"/>
      <c r="Q479" s="27"/>
      <c r="R479" s="27"/>
      <c r="S479" s="27"/>
    </row>
    <row r="480">
      <c r="C480" s="9"/>
      <c r="D480" s="9"/>
      <c r="P480" s="9"/>
      <c r="Q480" s="27"/>
      <c r="R480" s="27"/>
      <c r="S480" s="27"/>
    </row>
    <row r="481">
      <c r="C481" s="9"/>
      <c r="D481" s="9"/>
      <c r="P481" s="9"/>
      <c r="Q481" s="27"/>
      <c r="R481" s="27"/>
      <c r="S481" s="27"/>
    </row>
    <row r="482">
      <c r="C482" s="9"/>
      <c r="D482" s="9"/>
      <c r="P482" s="9"/>
      <c r="Q482" s="27"/>
      <c r="R482" s="27"/>
      <c r="S482" s="27"/>
    </row>
    <row r="483">
      <c r="C483" s="9"/>
      <c r="D483" s="9"/>
      <c r="P483" s="9"/>
      <c r="Q483" s="27"/>
      <c r="R483" s="27"/>
      <c r="S483" s="27"/>
    </row>
    <row r="484">
      <c r="C484" s="9"/>
      <c r="D484" s="9"/>
      <c r="P484" s="9"/>
      <c r="Q484" s="27"/>
      <c r="R484" s="27"/>
      <c r="S484" s="27"/>
    </row>
    <row r="485">
      <c r="C485" s="9"/>
      <c r="D485" s="9"/>
      <c r="P485" s="9"/>
      <c r="Q485" s="27"/>
      <c r="R485" s="27"/>
      <c r="S485" s="27"/>
    </row>
    <row r="486">
      <c r="C486" s="9"/>
      <c r="D486" s="9"/>
      <c r="P486" s="9"/>
      <c r="Q486" s="27"/>
      <c r="R486" s="27"/>
      <c r="S486" s="27"/>
    </row>
    <row r="487">
      <c r="C487" s="9"/>
      <c r="D487" s="9"/>
      <c r="P487" s="9"/>
      <c r="Q487" s="27"/>
      <c r="R487" s="27"/>
      <c r="S487" s="27"/>
    </row>
    <row r="488">
      <c r="C488" s="9"/>
      <c r="D488" s="9"/>
      <c r="P488" s="9"/>
      <c r="Q488" s="27"/>
      <c r="R488" s="27"/>
      <c r="S488" s="27"/>
    </row>
    <row r="489">
      <c r="C489" s="9"/>
      <c r="D489" s="9"/>
      <c r="P489" s="9"/>
      <c r="Q489" s="27"/>
      <c r="R489" s="27"/>
      <c r="S489" s="27"/>
    </row>
    <row r="490">
      <c r="C490" s="9"/>
      <c r="D490" s="9"/>
      <c r="P490" s="9"/>
      <c r="Q490" s="27"/>
      <c r="R490" s="27"/>
      <c r="S490" s="27"/>
    </row>
    <row r="491">
      <c r="C491" s="9"/>
      <c r="D491" s="9"/>
      <c r="P491" s="9"/>
      <c r="Q491" s="27"/>
      <c r="R491" s="27"/>
      <c r="S491" s="27"/>
    </row>
    <row r="492">
      <c r="C492" s="9"/>
      <c r="D492" s="9"/>
      <c r="P492" s="9"/>
      <c r="Q492" s="27"/>
      <c r="R492" s="27"/>
      <c r="S492" s="27"/>
    </row>
    <row r="493">
      <c r="C493" s="9"/>
      <c r="D493" s="9"/>
      <c r="P493" s="9"/>
      <c r="Q493" s="27"/>
      <c r="R493" s="27"/>
      <c r="S493" s="27"/>
    </row>
    <row r="494">
      <c r="C494" s="9"/>
      <c r="D494" s="9"/>
      <c r="P494" s="9"/>
      <c r="Q494" s="27"/>
      <c r="R494" s="27"/>
      <c r="S494" s="27"/>
    </row>
    <row r="495">
      <c r="C495" s="9"/>
      <c r="D495" s="9"/>
      <c r="P495" s="9"/>
      <c r="Q495" s="27"/>
      <c r="R495" s="27"/>
      <c r="S495" s="27"/>
    </row>
    <row r="496">
      <c r="C496" s="9"/>
      <c r="D496" s="9"/>
      <c r="P496" s="9"/>
      <c r="Q496" s="27"/>
      <c r="R496" s="27"/>
      <c r="S496" s="27"/>
    </row>
    <row r="497">
      <c r="C497" s="9"/>
      <c r="D497" s="9"/>
      <c r="P497" s="9"/>
      <c r="Q497" s="27"/>
      <c r="R497" s="27"/>
      <c r="S497" s="27"/>
    </row>
    <row r="498">
      <c r="C498" s="9"/>
      <c r="D498" s="9"/>
      <c r="P498" s="9"/>
      <c r="Q498" s="27"/>
      <c r="R498" s="27"/>
      <c r="S498" s="27"/>
    </row>
    <row r="499">
      <c r="C499" s="9"/>
      <c r="D499" s="9"/>
      <c r="P499" s="9"/>
      <c r="Q499" s="27"/>
      <c r="R499" s="27"/>
      <c r="S499" s="27"/>
    </row>
    <row r="500">
      <c r="C500" s="9"/>
      <c r="D500" s="9"/>
      <c r="P500" s="9"/>
      <c r="Q500" s="27"/>
      <c r="R500" s="27"/>
      <c r="S500" s="27"/>
    </row>
    <row r="501">
      <c r="C501" s="9"/>
      <c r="D501" s="9"/>
      <c r="P501" s="9"/>
      <c r="Q501" s="27"/>
      <c r="R501" s="27"/>
      <c r="S501" s="27"/>
    </row>
    <row r="502">
      <c r="C502" s="9"/>
      <c r="D502" s="9"/>
      <c r="P502" s="9"/>
      <c r="Q502" s="27"/>
      <c r="R502" s="27"/>
      <c r="S502" s="27"/>
    </row>
    <row r="503">
      <c r="C503" s="9"/>
      <c r="D503" s="9"/>
      <c r="P503" s="9"/>
      <c r="Q503" s="27"/>
      <c r="R503" s="27"/>
      <c r="S503" s="27"/>
    </row>
    <row r="504">
      <c r="C504" s="9"/>
      <c r="D504" s="9"/>
      <c r="P504" s="9"/>
      <c r="Q504" s="27"/>
      <c r="R504" s="27"/>
      <c r="S504" s="27"/>
    </row>
    <row r="505">
      <c r="C505" s="9"/>
      <c r="D505" s="9"/>
      <c r="P505" s="9"/>
      <c r="Q505" s="27"/>
      <c r="R505" s="27"/>
      <c r="S505" s="27"/>
    </row>
    <row r="506">
      <c r="C506" s="9"/>
      <c r="D506" s="9"/>
      <c r="P506" s="9"/>
      <c r="Q506" s="27"/>
      <c r="R506" s="27"/>
      <c r="S506" s="27"/>
    </row>
    <row r="507">
      <c r="C507" s="9"/>
      <c r="D507" s="9"/>
      <c r="P507" s="9"/>
      <c r="Q507" s="27"/>
      <c r="R507" s="27"/>
      <c r="S507" s="27"/>
    </row>
    <row r="508">
      <c r="C508" s="9"/>
      <c r="D508" s="9"/>
      <c r="P508" s="9"/>
      <c r="Q508" s="27"/>
      <c r="R508" s="27"/>
      <c r="S508" s="27"/>
    </row>
    <row r="509">
      <c r="C509" s="9"/>
      <c r="D509" s="9"/>
      <c r="P509" s="9"/>
      <c r="Q509" s="27"/>
      <c r="R509" s="27"/>
      <c r="S509" s="27"/>
    </row>
    <row r="510">
      <c r="C510" s="9"/>
      <c r="D510" s="9"/>
      <c r="P510" s="9"/>
      <c r="Q510" s="27"/>
      <c r="R510" s="27"/>
      <c r="S510" s="27"/>
    </row>
    <row r="511">
      <c r="C511" s="9"/>
      <c r="D511" s="9"/>
      <c r="P511" s="9"/>
      <c r="Q511" s="27"/>
      <c r="R511" s="27"/>
      <c r="S511" s="27"/>
    </row>
    <row r="512">
      <c r="C512" s="9"/>
      <c r="D512" s="9"/>
      <c r="P512" s="9"/>
      <c r="Q512" s="27"/>
      <c r="R512" s="27"/>
      <c r="S512" s="27"/>
    </row>
    <row r="513">
      <c r="C513" s="9"/>
      <c r="D513" s="9"/>
      <c r="P513" s="9"/>
      <c r="Q513" s="27"/>
      <c r="R513" s="27"/>
      <c r="S513" s="27"/>
    </row>
    <row r="514">
      <c r="C514" s="9"/>
      <c r="D514" s="9"/>
      <c r="P514" s="9"/>
      <c r="Q514" s="27"/>
      <c r="R514" s="27"/>
      <c r="S514" s="27"/>
    </row>
    <row r="515">
      <c r="C515" s="9"/>
      <c r="D515" s="9"/>
      <c r="P515" s="9"/>
      <c r="Q515" s="27"/>
      <c r="R515" s="27"/>
      <c r="S515" s="27"/>
    </row>
    <row r="516">
      <c r="C516" s="9"/>
      <c r="D516" s="9"/>
      <c r="P516" s="9"/>
      <c r="Q516" s="27"/>
      <c r="R516" s="27"/>
      <c r="S516" s="27"/>
    </row>
    <row r="517">
      <c r="C517" s="9"/>
      <c r="D517" s="9"/>
      <c r="P517" s="9"/>
      <c r="Q517" s="27"/>
      <c r="R517" s="27"/>
      <c r="S517" s="27"/>
    </row>
    <row r="518">
      <c r="C518" s="9"/>
      <c r="D518" s="9"/>
      <c r="P518" s="9"/>
      <c r="Q518" s="27"/>
      <c r="R518" s="27"/>
      <c r="S518" s="27"/>
    </row>
    <row r="519">
      <c r="C519" s="9"/>
      <c r="D519" s="9"/>
      <c r="P519" s="9"/>
      <c r="Q519" s="27"/>
      <c r="R519" s="27"/>
      <c r="S519" s="27"/>
    </row>
    <row r="520">
      <c r="C520" s="9"/>
      <c r="D520" s="9"/>
      <c r="P520" s="9"/>
      <c r="Q520" s="27"/>
      <c r="R520" s="27"/>
      <c r="S520" s="27"/>
    </row>
    <row r="521">
      <c r="C521" s="9"/>
      <c r="D521" s="9"/>
      <c r="P521" s="9"/>
      <c r="Q521" s="27"/>
      <c r="R521" s="27"/>
      <c r="S521" s="27"/>
    </row>
    <row r="522">
      <c r="C522" s="9"/>
      <c r="D522" s="9"/>
      <c r="P522" s="9"/>
      <c r="Q522" s="27"/>
      <c r="R522" s="27"/>
      <c r="S522" s="27"/>
    </row>
    <row r="523">
      <c r="C523" s="9"/>
      <c r="D523" s="9"/>
      <c r="P523" s="9"/>
      <c r="Q523" s="27"/>
      <c r="R523" s="27"/>
      <c r="S523" s="27"/>
    </row>
    <row r="524">
      <c r="C524" s="9"/>
      <c r="D524" s="9"/>
      <c r="P524" s="9"/>
      <c r="Q524" s="27"/>
      <c r="R524" s="27"/>
      <c r="S524" s="27"/>
    </row>
    <row r="525">
      <c r="C525" s="9"/>
      <c r="D525" s="9"/>
      <c r="P525" s="9"/>
      <c r="Q525" s="27"/>
      <c r="R525" s="27"/>
      <c r="S525" s="27"/>
    </row>
    <row r="526">
      <c r="C526" s="9"/>
      <c r="D526" s="9"/>
      <c r="P526" s="9"/>
      <c r="Q526" s="27"/>
      <c r="R526" s="27"/>
      <c r="S526" s="27"/>
    </row>
    <row r="527">
      <c r="C527" s="9"/>
      <c r="D527" s="9"/>
      <c r="P527" s="9"/>
      <c r="Q527" s="27"/>
      <c r="R527" s="27"/>
      <c r="S527" s="27"/>
    </row>
    <row r="528">
      <c r="C528" s="9"/>
      <c r="D528" s="9"/>
      <c r="P528" s="9"/>
      <c r="Q528" s="27"/>
      <c r="R528" s="27"/>
      <c r="S528" s="27"/>
    </row>
    <row r="529">
      <c r="C529" s="9"/>
      <c r="D529" s="9"/>
      <c r="P529" s="9"/>
      <c r="Q529" s="27"/>
      <c r="R529" s="27"/>
      <c r="S529" s="27"/>
    </row>
    <row r="530">
      <c r="C530" s="9"/>
      <c r="D530" s="9"/>
      <c r="P530" s="9"/>
      <c r="Q530" s="27"/>
      <c r="R530" s="27"/>
      <c r="S530" s="27"/>
    </row>
    <row r="531">
      <c r="C531" s="9"/>
      <c r="D531" s="9"/>
      <c r="P531" s="9"/>
      <c r="Q531" s="27"/>
      <c r="R531" s="27"/>
      <c r="S531" s="27"/>
    </row>
    <row r="532">
      <c r="C532" s="9"/>
      <c r="D532" s="9"/>
      <c r="P532" s="9"/>
      <c r="Q532" s="27"/>
      <c r="R532" s="27"/>
      <c r="S532" s="27"/>
    </row>
    <row r="533">
      <c r="C533" s="9"/>
      <c r="D533" s="9"/>
      <c r="P533" s="9"/>
      <c r="Q533" s="27"/>
      <c r="R533" s="27"/>
      <c r="S533" s="27"/>
    </row>
    <row r="534">
      <c r="C534" s="9"/>
      <c r="D534" s="9"/>
      <c r="P534" s="9"/>
      <c r="Q534" s="27"/>
      <c r="R534" s="27"/>
      <c r="S534" s="27"/>
    </row>
    <row r="535">
      <c r="C535" s="9"/>
      <c r="D535" s="9"/>
      <c r="P535" s="9"/>
      <c r="Q535" s="27"/>
      <c r="R535" s="27"/>
      <c r="S535" s="27"/>
    </row>
    <row r="536">
      <c r="C536" s="9"/>
      <c r="D536" s="9"/>
      <c r="P536" s="9"/>
      <c r="Q536" s="27"/>
      <c r="R536" s="27"/>
      <c r="S536" s="27"/>
    </row>
    <row r="537">
      <c r="C537" s="9"/>
      <c r="D537" s="9"/>
      <c r="P537" s="9"/>
      <c r="Q537" s="27"/>
      <c r="R537" s="27"/>
      <c r="S537" s="27"/>
    </row>
    <row r="538">
      <c r="C538" s="9"/>
      <c r="D538" s="9"/>
      <c r="P538" s="9"/>
      <c r="Q538" s="27"/>
      <c r="R538" s="27"/>
      <c r="S538" s="27"/>
    </row>
    <row r="539">
      <c r="C539" s="9"/>
      <c r="D539" s="9"/>
      <c r="P539" s="9"/>
      <c r="Q539" s="27"/>
      <c r="R539" s="27"/>
      <c r="S539" s="27"/>
    </row>
    <row r="540">
      <c r="C540" s="9"/>
      <c r="D540" s="9"/>
      <c r="P540" s="9"/>
      <c r="Q540" s="27"/>
      <c r="R540" s="27"/>
      <c r="S540" s="27"/>
    </row>
    <row r="541">
      <c r="C541" s="9"/>
      <c r="D541" s="9"/>
      <c r="P541" s="9"/>
      <c r="Q541" s="27"/>
      <c r="R541" s="27"/>
      <c r="S541" s="27"/>
    </row>
    <row r="542">
      <c r="C542" s="9"/>
      <c r="D542" s="9"/>
      <c r="P542" s="9"/>
      <c r="Q542" s="27"/>
      <c r="R542" s="27"/>
      <c r="S542" s="27"/>
    </row>
    <row r="543">
      <c r="C543" s="9"/>
      <c r="D543" s="9"/>
      <c r="P543" s="9"/>
      <c r="Q543" s="27"/>
      <c r="R543" s="27"/>
      <c r="S543" s="27"/>
    </row>
    <row r="544">
      <c r="C544" s="9"/>
      <c r="D544" s="9"/>
      <c r="P544" s="9"/>
      <c r="Q544" s="27"/>
      <c r="R544" s="27"/>
      <c r="S544" s="27"/>
    </row>
    <row r="545">
      <c r="C545" s="9"/>
      <c r="D545" s="9"/>
      <c r="P545" s="9"/>
      <c r="Q545" s="27"/>
      <c r="R545" s="27"/>
      <c r="S545" s="27"/>
    </row>
    <row r="546">
      <c r="C546" s="9"/>
      <c r="D546" s="9"/>
      <c r="P546" s="9"/>
      <c r="Q546" s="27"/>
      <c r="R546" s="27"/>
      <c r="S546" s="27"/>
    </row>
    <row r="547">
      <c r="C547" s="9"/>
      <c r="D547" s="9"/>
      <c r="P547" s="9"/>
      <c r="Q547" s="27"/>
      <c r="R547" s="27"/>
      <c r="S547" s="27"/>
    </row>
    <row r="548">
      <c r="C548" s="9"/>
      <c r="D548" s="9"/>
      <c r="P548" s="9"/>
      <c r="Q548" s="27"/>
      <c r="R548" s="27"/>
      <c r="S548" s="27"/>
    </row>
    <row r="549">
      <c r="C549" s="9"/>
      <c r="D549" s="9"/>
      <c r="P549" s="9"/>
      <c r="Q549" s="27"/>
      <c r="R549" s="27"/>
      <c r="S549" s="27"/>
    </row>
    <row r="550">
      <c r="C550" s="9"/>
      <c r="D550" s="9"/>
      <c r="P550" s="9"/>
      <c r="Q550" s="27"/>
      <c r="R550" s="27"/>
      <c r="S550" s="27"/>
    </row>
    <row r="551">
      <c r="C551" s="9"/>
      <c r="D551" s="9"/>
      <c r="P551" s="9"/>
      <c r="Q551" s="27"/>
      <c r="R551" s="27"/>
      <c r="S551" s="27"/>
    </row>
    <row r="552">
      <c r="C552" s="9"/>
      <c r="D552" s="9"/>
      <c r="P552" s="9"/>
      <c r="Q552" s="27"/>
      <c r="R552" s="27"/>
      <c r="S552" s="27"/>
    </row>
    <row r="553">
      <c r="C553" s="9"/>
      <c r="D553" s="9"/>
      <c r="P553" s="9"/>
      <c r="Q553" s="27"/>
      <c r="R553" s="27"/>
      <c r="S553" s="27"/>
    </row>
    <row r="554">
      <c r="C554" s="9"/>
      <c r="D554" s="9"/>
      <c r="P554" s="9"/>
      <c r="Q554" s="27"/>
      <c r="R554" s="27"/>
      <c r="S554" s="27"/>
    </row>
    <row r="555">
      <c r="C555" s="9"/>
      <c r="D555" s="9"/>
      <c r="P555" s="9"/>
      <c r="Q555" s="27"/>
      <c r="R555" s="27"/>
      <c r="S555" s="27"/>
    </row>
    <row r="556">
      <c r="C556" s="9"/>
      <c r="D556" s="9"/>
      <c r="P556" s="9"/>
      <c r="Q556" s="27"/>
      <c r="R556" s="27"/>
      <c r="S556" s="27"/>
    </row>
    <row r="557">
      <c r="C557" s="9"/>
      <c r="D557" s="9"/>
      <c r="P557" s="9"/>
      <c r="Q557" s="27"/>
      <c r="R557" s="27"/>
      <c r="S557" s="27"/>
    </row>
    <row r="558">
      <c r="C558" s="9"/>
      <c r="D558" s="9"/>
      <c r="P558" s="9"/>
      <c r="Q558" s="27"/>
      <c r="R558" s="27"/>
      <c r="S558" s="27"/>
    </row>
    <row r="559">
      <c r="C559" s="9"/>
      <c r="D559" s="9"/>
      <c r="P559" s="9"/>
      <c r="Q559" s="27"/>
      <c r="R559" s="27"/>
      <c r="S559" s="27"/>
    </row>
    <row r="560">
      <c r="C560" s="9"/>
      <c r="D560" s="9"/>
      <c r="P560" s="9"/>
      <c r="Q560" s="27"/>
      <c r="R560" s="27"/>
      <c r="S560" s="27"/>
    </row>
    <row r="561">
      <c r="C561" s="9"/>
      <c r="D561" s="9"/>
      <c r="P561" s="9"/>
      <c r="Q561" s="27"/>
      <c r="R561" s="27"/>
      <c r="S561" s="27"/>
    </row>
    <row r="562">
      <c r="C562" s="9"/>
      <c r="D562" s="9"/>
      <c r="P562" s="9"/>
      <c r="Q562" s="27"/>
      <c r="R562" s="27"/>
      <c r="S562" s="27"/>
    </row>
    <row r="563">
      <c r="C563" s="9"/>
      <c r="D563" s="9"/>
      <c r="P563" s="9"/>
      <c r="Q563" s="27"/>
      <c r="R563" s="27"/>
      <c r="S563" s="27"/>
    </row>
    <row r="564">
      <c r="C564" s="9"/>
      <c r="D564" s="9"/>
      <c r="P564" s="9"/>
      <c r="Q564" s="27"/>
      <c r="R564" s="27"/>
      <c r="S564" s="27"/>
    </row>
    <row r="565">
      <c r="C565" s="9"/>
      <c r="D565" s="9"/>
      <c r="P565" s="9"/>
      <c r="Q565" s="27"/>
      <c r="R565" s="27"/>
      <c r="S565" s="27"/>
    </row>
    <row r="566">
      <c r="C566" s="9"/>
      <c r="D566" s="9"/>
      <c r="P566" s="9"/>
      <c r="Q566" s="27"/>
      <c r="R566" s="27"/>
      <c r="S566" s="27"/>
    </row>
    <row r="567">
      <c r="C567" s="9"/>
      <c r="D567" s="9"/>
      <c r="P567" s="9"/>
      <c r="Q567" s="27"/>
      <c r="R567" s="27"/>
      <c r="S567" s="27"/>
    </row>
    <row r="568">
      <c r="C568" s="9"/>
      <c r="D568" s="9"/>
      <c r="P568" s="9"/>
      <c r="Q568" s="27"/>
      <c r="R568" s="27"/>
      <c r="S568" s="27"/>
    </row>
    <row r="569">
      <c r="C569" s="9"/>
      <c r="D569" s="9"/>
      <c r="P569" s="9"/>
      <c r="Q569" s="27"/>
      <c r="R569" s="27"/>
      <c r="S569" s="27"/>
    </row>
    <row r="570">
      <c r="C570" s="9"/>
      <c r="D570" s="9"/>
      <c r="P570" s="9"/>
      <c r="Q570" s="27"/>
      <c r="R570" s="27"/>
      <c r="S570" s="27"/>
    </row>
    <row r="571">
      <c r="C571" s="9"/>
      <c r="D571" s="9"/>
      <c r="P571" s="9"/>
      <c r="Q571" s="27"/>
      <c r="R571" s="27"/>
      <c r="S571" s="27"/>
    </row>
    <row r="572">
      <c r="C572" s="9"/>
      <c r="D572" s="9"/>
      <c r="P572" s="9"/>
      <c r="Q572" s="27"/>
      <c r="R572" s="27"/>
      <c r="S572" s="27"/>
    </row>
    <row r="573">
      <c r="C573" s="9"/>
      <c r="D573" s="9"/>
      <c r="P573" s="9"/>
      <c r="Q573" s="27"/>
      <c r="R573" s="27"/>
      <c r="S573" s="27"/>
    </row>
    <row r="574">
      <c r="C574" s="9"/>
      <c r="D574" s="9"/>
      <c r="P574" s="9"/>
      <c r="Q574" s="27"/>
      <c r="R574" s="27"/>
      <c r="S574" s="27"/>
    </row>
    <row r="575">
      <c r="C575" s="9"/>
      <c r="D575" s="9"/>
      <c r="P575" s="9"/>
      <c r="Q575" s="27"/>
      <c r="R575" s="27"/>
      <c r="S575" s="27"/>
    </row>
    <row r="576">
      <c r="C576" s="9"/>
      <c r="D576" s="9"/>
      <c r="P576" s="9"/>
      <c r="Q576" s="27"/>
      <c r="R576" s="27"/>
      <c r="S576" s="27"/>
    </row>
    <row r="577">
      <c r="C577" s="9"/>
      <c r="D577" s="9"/>
      <c r="P577" s="9"/>
      <c r="Q577" s="27"/>
      <c r="R577" s="27"/>
      <c r="S577" s="27"/>
    </row>
    <row r="578">
      <c r="C578" s="9"/>
      <c r="D578" s="9"/>
      <c r="P578" s="9"/>
      <c r="Q578" s="27"/>
      <c r="R578" s="27"/>
      <c r="S578" s="27"/>
    </row>
    <row r="579">
      <c r="C579" s="9"/>
      <c r="D579" s="9"/>
      <c r="P579" s="9"/>
      <c r="Q579" s="27"/>
      <c r="R579" s="27"/>
      <c r="S579" s="27"/>
    </row>
    <row r="580">
      <c r="C580" s="9"/>
      <c r="D580" s="9"/>
      <c r="P580" s="9"/>
      <c r="Q580" s="27"/>
      <c r="R580" s="27"/>
      <c r="S580" s="27"/>
    </row>
    <row r="581">
      <c r="C581" s="9"/>
      <c r="D581" s="9"/>
      <c r="P581" s="9"/>
      <c r="Q581" s="27"/>
      <c r="R581" s="27"/>
      <c r="S581" s="27"/>
    </row>
    <row r="582">
      <c r="C582" s="9"/>
      <c r="D582" s="9"/>
      <c r="P582" s="9"/>
      <c r="Q582" s="27"/>
      <c r="R582" s="27"/>
      <c r="S582" s="27"/>
    </row>
    <row r="583">
      <c r="C583" s="9"/>
      <c r="D583" s="9"/>
      <c r="P583" s="9"/>
      <c r="Q583" s="27"/>
      <c r="R583" s="27"/>
      <c r="S583" s="27"/>
    </row>
    <row r="584">
      <c r="C584" s="9"/>
      <c r="D584" s="9"/>
      <c r="P584" s="9"/>
      <c r="Q584" s="27"/>
      <c r="R584" s="27"/>
      <c r="S584" s="27"/>
    </row>
    <row r="585">
      <c r="C585" s="9"/>
      <c r="D585" s="9"/>
      <c r="P585" s="9"/>
      <c r="Q585" s="27"/>
      <c r="R585" s="27"/>
      <c r="S585" s="27"/>
    </row>
    <row r="586">
      <c r="C586" s="9"/>
      <c r="D586" s="9"/>
      <c r="P586" s="9"/>
      <c r="Q586" s="27"/>
      <c r="R586" s="27"/>
      <c r="S586" s="27"/>
    </row>
    <row r="587">
      <c r="C587" s="9"/>
      <c r="D587" s="9"/>
      <c r="P587" s="9"/>
      <c r="Q587" s="27"/>
      <c r="R587" s="27"/>
      <c r="S587" s="27"/>
    </row>
    <row r="588">
      <c r="C588" s="9"/>
      <c r="D588" s="9"/>
      <c r="P588" s="9"/>
      <c r="Q588" s="27"/>
      <c r="R588" s="27"/>
      <c r="S588" s="27"/>
    </row>
    <row r="589">
      <c r="C589" s="9"/>
      <c r="D589" s="9"/>
      <c r="P589" s="9"/>
      <c r="Q589" s="27"/>
      <c r="R589" s="27"/>
      <c r="S589" s="27"/>
    </row>
    <row r="590">
      <c r="C590" s="9"/>
      <c r="D590" s="9"/>
      <c r="P590" s="9"/>
      <c r="Q590" s="27"/>
      <c r="R590" s="27"/>
      <c r="S590" s="27"/>
    </row>
    <row r="591">
      <c r="C591" s="9"/>
      <c r="D591" s="9"/>
      <c r="P591" s="9"/>
      <c r="Q591" s="27"/>
      <c r="R591" s="27"/>
      <c r="S591" s="27"/>
    </row>
    <row r="592">
      <c r="C592" s="9"/>
      <c r="D592" s="9"/>
      <c r="P592" s="9"/>
      <c r="Q592" s="27"/>
      <c r="R592" s="27"/>
      <c r="S592" s="27"/>
    </row>
    <row r="593">
      <c r="C593" s="9"/>
      <c r="D593" s="9"/>
      <c r="P593" s="9"/>
      <c r="Q593" s="27"/>
      <c r="R593" s="27"/>
      <c r="S593" s="27"/>
    </row>
    <row r="594">
      <c r="C594" s="9"/>
      <c r="D594" s="9"/>
      <c r="P594" s="9"/>
      <c r="Q594" s="27"/>
      <c r="R594" s="27"/>
      <c r="S594" s="27"/>
    </row>
    <row r="595">
      <c r="C595" s="9"/>
      <c r="D595" s="9"/>
      <c r="P595" s="9"/>
      <c r="Q595" s="27"/>
      <c r="R595" s="27"/>
      <c r="S595" s="27"/>
    </row>
    <row r="596">
      <c r="C596" s="9"/>
      <c r="D596" s="9"/>
      <c r="P596" s="9"/>
      <c r="Q596" s="27"/>
      <c r="R596" s="27"/>
      <c r="S596" s="27"/>
    </row>
    <row r="597">
      <c r="C597" s="9"/>
      <c r="D597" s="9"/>
      <c r="P597" s="9"/>
      <c r="Q597" s="27"/>
      <c r="R597" s="27"/>
      <c r="S597" s="27"/>
    </row>
    <row r="598">
      <c r="C598" s="9"/>
      <c r="D598" s="9"/>
      <c r="P598" s="9"/>
      <c r="Q598" s="27"/>
      <c r="R598" s="27"/>
      <c r="S598" s="27"/>
    </row>
    <row r="599">
      <c r="C599" s="9"/>
      <c r="D599" s="9"/>
      <c r="P599" s="9"/>
      <c r="Q599" s="27"/>
      <c r="R599" s="27"/>
      <c r="S599" s="27"/>
    </row>
    <row r="600">
      <c r="C600" s="9"/>
      <c r="D600" s="9"/>
      <c r="P600" s="9"/>
      <c r="Q600" s="27"/>
      <c r="R600" s="27"/>
      <c r="S600" s="27"/>
    </row>
    <row r="601">
      <c r="C601" s="9"/>
      <c r="D601" s="9"/>
      <c r="P601" s="9"/>
      <c r="Q601" s="27"/>
      <c r="R601" s="27"/>
      <c r="S601" s="27"/>
    </row>
    <row r="602">
      <c r="C602" s="9"/>
      <c r="D602" s="9"/>
      <c r="P602" s="9"/>
      <c r="Q602" s="27"/>
      <c r="R602" s="27"/>
      <c r="S602" s="27"/>
    </row>
    <row r="603">
      <c r="C603" s="9"/>
      <c r="D603" s="9"/>
      <c r="P603" s="9"/>
      <c r="Q603" s="27"/>
      <c r="R603" s="27"/>
      <c r="S603" s="27"/>
    </row>
    <row r="604">
      <c r="C604" s="9"/>
      <c r="D604" s="9"/>
      <c r="P604" s="9"/>
      <c r="Q604" s="27"/>
      <c r="R604" s="27"/>
      <c r="S604" s="27"/>
    </row>
    <row r="605">
      <c r="C605" s="9"/>
      <c r="D605" s="9"/>
      <c r="P605" s="9"/>
      <c r="Q605" s="27"/>
      <c r="R605" s="27"/>
      <c r="S605" s="27"/>
    </row>
    <row r="606">
      <c r="C606" s="9"/>
      <c r="D606" s="9"/>
      <c r="P606" s="9"/>
      <c r="Q606" s="27"/>
      <c r="R606" s="27"/>
      <c r="S606" s="27"/>
    </row>
    <row r="607">
      <c r="C607" s="9"/>
      <c r="D607" s="9"/>
      <c r="P607" s="9"/>
      <c r="Q607" s="27"/>
      <c r="R607" s="27"/>
      <c r="S607" s="27"/>
    </row>
    <row r="608">
      <c r="C608" s="9"/>
      <c r="D608" s="9"/>
      <c r="P608" s="9"/>
      <c r="Q608" s="27"/>
      <c r="R608" s="27"/>
      <c r="S608" s="27"/>
    </row>
    <row r="609">
      <c r="C609" s="9"/>
      <c r="D609" s="9"/>
      <c r="P609" s="9"/>
      <c r="Q609" s="27"/>
      <c r="R609" s="27"/>
      <c r="S609" s="27"/>
    </row>
    <row r="610">
      <c r="C610" s="9"/>
      <c r="D610" s="9"/>
      <c r="P610" s="9"/>
      <c r="Q610" s="27"/>
      <c r="R610" s="27"/>
      <c r="S610" s="27"/>
    </row>
    <row r="611">
      <c r="C611" s="9"/>
      <c r="D611" s="9"/>
      <c r="P611" s="9"/>
      <c r="Q611" s="27"/>
      <c r="R611" s="27"/>
      <c r="S611" s="27"/>
    </row>
    <row r="612">
      <c r="C612" s="9"/>
      <c r="D612" s="9"/>
      <c r="P612" s="9"/>
      <c r="Q612" s="27"/>
      <c r="R612" s="27"/>
      <c r="S612" s="27"/>
    </row>
    <row r="613">
      <c r="C613" s="9"/>
      <c r="D613" s="9"/>
      <c r="P613" s="9"/>
      <c r="Q613" s="27"/>
      <c r="R613" s="27"/>
      <c r="S613" s="27"/>
    </row>
    <row r="614">
      <c r="C614" s="9"/>
      <c r="D614" s="9"/>
      <c r="P614" s="9"/>
      <c r="Q614" s="27"/>
      <c r="R614" s="27"/>
      <c r="S614" s="27"/>
    </row>
    <row r="615">
      <c r="C615" s="9"/>
      <c r="D615" s="9"/>
      <c r="P615" s="9"/>
      <c r="Q615" s="27"/>
      <c r="R615" s="27"/>
      <c r="S615" s="27"/>
    </row>
    <row r="616">
      <c r="C616" s="9"/>
      <c r="D616" s="9"/>
      <c r="P616" s="9"/>
      <c r="Q616" s="27"/>
      <c r="R616" s="27"/>
      <c r="S616" s="27"/>
    </row>
    <row r="617">
      <c r="C617" s="9"/>
      <c r="D617" s="9"/>
      <c r="P617" s="9"/>
      <c r="Q617" s="27"/>
      <c r="R617" s="27"/>
      <c r="S617" s="27"/>
    </row>
    <row r="618">
      <c r="C618" s="9"/>
      <c r="D618" s="9"/>
      <c r="P618" s="9"/>
      <c r="Q618" s="27"/>
      <c r="R618" s="27"/>
      <c r="S618" s="27"/>
    </row>
    <row r="619">
      <c r="C619" s="9"/>
      <c r="D619" s="9"/>
      <c r="P619" s="9"/>
      <c r="Q619" s="27"/>
      <c r="R619" s="27"/>
      <c r="S619" s="27"/>
    </row>
    <row r="620">
      <c r="C620" s="9"/>
      <c r="D620" s="9"/>
      <c r="P620" s="9"/>
      <c r="Q620" s="27"/>
      <c r="R620" s="27"/>
      <c r="S620" s="27"/>
    </row>
    <row r="621">
      <c r="C621" s="9"/>
      <c r="D621" s="9"/>
      <c r="P621" s="9"/>
      <c r="Q621" s="27"/>
      <c r="R621" s="27"/>
      <c r="S621" s="27"/>
    </row>
    <row r="622">
      <c r="C622" s="9"/>
      <c r="D622" s="9"/>
      <c r="P622" s="9"/>
      <c r="Q622" s="27"/>
      <c r="R622" s="27"/>
      <c r="S622" s="27"/>
    </row>
    <row r="623">
      <c r="C623" s="9"/>
      <c r="D623" s="9"/>
      <c r="P623" s="9"/>
      <c r="Q623" s="27"/>
      <c r="R623" s="27"/>
      <c r="S623" s="27"/>
    </row>
    <row r="624">
      <c r="C624" s="9"/>
      <c r="D624" s="9"/>
      <c r="P624" s="9"/>
      <c r="Q624" s="27"/>
      <c r="R624" s="27"/>
      <c r="S624" s="27"/>
    </row>
    <row r="625">
      <c r="C625" s="9"/>
      <c r="D625" s="9"/>
      <c r="P625" s="9"/>
      <c r="Q625" s="27"/>
      <c r="R625" s="27"/>
      <c r="S625" s="27"/>
    </row>
    <row r="626">
      <c r="C626" s="9"/>
      <c r="D626" s="9"/>
      <c r="P626" s="9"/>
      <c r="Q626" s="27"/>
      <c r="R626" s="27"/>
      <c r="S626" s="27"/>
    </row>
    <row r="627">
      <c r="C627" s="9"/>
      <c r="D627" s="9"/>
      <c r="P627" s="9"/>
      <c r="Q627" s="27"/>
      <c r="R627" s="27"/>
      <c r="S627" s="27"/>
    </row>
    <row r="628">
      <c r="C628" s="9"/>
      <c r="D628" s="9"/>
      <c r="P628" s="9"/>
      <c r="Q628" s="27"/>
      <c r="R628" s="27"/>
      <c r="S628" s="27"/>
    </row>
    <row r="629">
      <c r="C629" s="9"/>
      <c r="D629" s="9"/>
      <c r="P629" s="9"/>
      <c r="Q629" s="27"/>
      <c r="R629" s="27"/>
      <c r="S629" s="27"/>
    </row>
    <row r="630">
      <c r="C630" s="9"/>
      <c r="D630" s="9"/>
      <c r="P630" s="9"/>
      <c r="Q630" s="27"/>
      <c r="R630" s="27"/>
      <c r="S630" s="27"/>
    </row>
    <row r="631">
      <c r="C631" s="9"/>
      <c r="D631" s="9"/>
      <c r="P631" s="9"/>
      <c r="Q631" s="27"/>
      <c r="R631" s="27"/>
      <c r="S631" s="27"/>
    </row>
    <row r="632">
      <c r="C632" s="9"/>
      <c r="D632" s="9"/>
      <c r="P632" s="9"/>
      <c r="Q632" s="27"/>
      <c r="R632" s="27"/>
      <c r="S632" s="27"/>
    </row>
    <row r="633">
      <c r="C633" s="9"/>
      <c r="D633" s="9"/>
      <c r="P633" s="9"/>
      <c r="Q633" s="27"/>
      <c r="R633" s="27"/>
      <c r="S633" s="27"/>
    </row>
    <row r="634">
      <c r="C634" s="9"/>
      <c r="D634" s="9"/>
      <c r="P634" s="9"/>
      <c r="Q634" s="27"/>
      <c r="R634" s="27"/>
      <c r="S634" s="27"/>
    </row>
    <row r="635">
      <c r="C635" s="9"/>
      <c r="D635" s="9"/>
      <c r="P635" s="9"/>
      <c r="Q635" s="27"/>
      <c r="R635" s="27"/>
      <c r="S635" s="27"/>
    </row>
    <row r="636">
      <c r="C636" s="9"/>
      <c r="D636" s="9"/>
      <c r="P636" s="9"/>
      <c r="Q636" s="27"/>
      <c r="R636" s="27"/>
      <c r="S636" s="27"/>
    </row>
    <row r="637">
      <c r="C637" s="9"/>
      <c r="D637" s="9"/>
      <c r="P637" s="9"/>
      <c r="Q637" s="27"/>
      <c r="R637" s="27"/>
      <c r="S637" s="27"/>
    </row>
    <row r="638">
      <c r="C638" s="9"/>
      <c r="D638" s="9"/>
      <c r="P638" s="9"/>
      <c r="Q638" s="27"/>
      <c r="R638" s="27"/>
      <c r="S638" s="27"/>
    </row>
    <row r="639">
      <c r="C639" s="9"/>
      <c r="D639" s="9"/>
      <c r="P639" s="9"/>
      <c r="Q639" s="27"/>
      <c r="R639" s="27"/>
      <c r="S639" s="27"/>
    </row>
    <row r="640">
      <c r="C640" s="9"/>
      <c r="D640" s="9"/>
      <c r="P640" s="9"/>
      <c r="Q640" s="27"/>
      <c r="R640" s="27"/>
      <c r="S640" s="27"/>
    </row>
    <row r="641">
      <c r="C641" s="9"/>
      <c r="D641" s="9"/>
      <c r="P641" s="9"/>
      <c r="Q641" s="27"/>
      <c r="R641" s="27"/>
      <c r="S641" s="27"/>
    </row>
    <row r="642">
      <c r="C642" s="9"/>
      <c r="D642" s="9"/>
      <c r="P642" s="9"/>
      <c r="Q642" s="27"/>
      <c r="R642" s="27"/>
      <c r="S642" s="27"/>
    </row>
    <row r="643">
      <c r="C643" s="9"/>
      <c r="D643" s="9"/>
      <c r="P643" s="9"/>
      <c r="Q643" s="27"/>
      <c r="R643" s="27"/>
      <c r="S643" s="27"/>
    </row>
    <row r="644">
      <c r="C644" s="9"/>
      <c r="D644" s="9"/>
      <c r="P644" s="9"/>
      <c r="Q644" s="27"/>
      <c r="R644" s="27"/>
      <c r="S644" s="27"/>
    </row>
    <row r="645">
      <c r="C645" s="9"/>
      <c r="D645" s="9"/>
      <c r="P645" s="9"/>
      <c r="Q645" s="27"/>
      <c r="R645" s="27"/>
      <c r="S645" s="27"/>
    </row>
    <row r="646">
      <c r="C646" s="9"/>
      <c r="D646" s="9"/>
      <c r="P646" s="9"/>
      <c r="Q646" s="27"/>
      <c r="R646" s="27"/>
      <c r="S646" s="27"/>
    </row>
    <row r="647">
      <c r="C647" s="9"/>
      <c r="D647" s="9"/>
      <c r="P647" s="9"/>
      <c r="Q647" s="27"/>
      <c r="R647" s="27"/>
      <c r="S647" s="27"/>
    </row>
    <row r="648">
      <c r="C648" s="9"/>
      <c r="D648" s="9"/>
      <c r="P648" s="9"/>
      <c r="Q648" s="27"/>
      <c r="R648" s="27"/>
      <c r="S648" s="27"/>
    </row>
    <row r="649">
      <c r="C649" s="9"/>
      <c r="D649" s="9"/>
      <c r="P649" s="9"/>
      <c r="Q649" s="27"/>
      <c r="R649" s="27"/>
      <c r="S649" s="27"/>
    </row>
    <row r="650">
      <c r="C650" s="9"/>
      <c r="D650" s="9"/>
      <c r="P650" s="9"/>
      <c r="Q650" s="27"/>
      <c r="R650" s="27"/>
      <c r="S650" s="27"/>
    </row>
    <row r="651">
      <c r="C651" s="9"/>
      <c r="D651" s="9"/>
      <c r="P651" s="9"/>
      <c r="Q651" s="27"/>
      <c r="R651" s="27"/>
      <c r="S651" s="27"/>
    </row>
    <row r="652">
      <c r="C652" s="9"/>
      <c r="D652" s="9"/>
      <c r="P652" s="9"/>
      <c r="Q652" s="27"/>
      <c r="R652" s="27"/>
      <c r="S652" s="27"/>
    </row>
    <row r="653">
      <c r="C653" s="9"/>
      <c r="D653" s="9"/>
      <c r="P653" s="9"/>
      <c r="Q653" s="27"/>
      <c r="R653" s="27"/>
      <c r="S653" s="27"/>
    </row>
    <row r="654">
      <c r="C654" s="9"/>
      <c r="D654" s="9"/>
      <c r="P654" s="9"/>
      <c r="Q654" s="27"/>
      <c r="R654" s="27"/>
      <c r="S654" s="27"/>
    </row>
    <row r="655">
      <c r="C655" s="9"/>
      <c r="D655" s="9"/>
      <c r="P655" s="9"/>
      <c r="Q655" s="27"/>
      <c r="R655" s="27"/>
      <c r="S655" s="27"/>
    </row>
    <row r="656">
      <c r="C656" s="9"/>
      <c r="D656" s="9"/>
      <c r="P656" s="9"/>
      <c r="Q656" s="27"/>
      <c r="R656" s="27"/>
      <c r="S656" s="27"/>
    </row>
    <row r="657">
      <c r="C657" s="9"/>
      <c r="D657" s="9"/>
      <c r="P657" s="9"/>
      <c r="Q657" s="27"/>
      <c r="R657" s="27"/>
      <c r="S657" s="27"/>
    </row>
    <row r="658">
      <c r="C658" s="9"/>
      <c r="D658" s="9"/>
      <c r="P658" s="9"/>
      <c r="Q658" s="27"/>
      <c r="R658" s="27"/>
      <c r="S658" s="27"/>
    </row>
    <row r="659">
      <c r="C659" s="9"/>
      <c r="D659" s="9"/>
      <c r="P659" s="9"/>
      <c r="Q659" s="27"/>
      <c r="R659" s="27"/>
      <c r="S659" s="27"/>
    </row>
    <row r="660">
      <c r="C660" s="9"/>
      <c r="D660" s="9"/>
      <c r="P660" s="9"/>
      <c r="Q660" s="27"/>
      <c r="R660" s="27"/>
      <c r="S660" s="27"/>
    </row>
    <row r="661">
      <c r="C661" s="9"/>
      <c r="D661" s="9"/>
      <c r="P661" s="9"/>
      <c r="Q661" s="27"/>
      <c r="R661" s="27"/>
      <c r="S661" s="27"/>
    </row>
    <row r="662">
      <c r="C662" s="9"/>
      <c r="D662" s="9"/>
      <c r="P662" s="9"/>
      <c r="Q662" s="27"/>
      <c r="R662" s="27"/>
      <c r="S662" s="27"/>
    </row>
    <row r="663">
      <c r="C663" s="9"/>
      <c r="D663" s="9"/>
      <c r="P663" s="9"/>
      <c r="Q663" s="27"/>
      <c r="R663" s="27"/>
      <c r="S663" s="27"/>
    </row>
    <row r="664">
      <c r="C664" s="9"/>
      <c r="D664" s="9"/>
      <c r="P664" s="9"/>
      <c r="Q664" s="27"/>
      <c r="R664" s="27"/>
      <c r="S664" s="27"/>
    </row>
    <row r="665">
      <c r="C665" s="9"/>
      <c r="D665" s="9"/>
      <c r="P665" s="9"/>
      <c r="Q665" s="27"/>
      <c r="R665" s="27"/>
      <c r="S665" s="27"/>
    </row>
    <row r="666">
      <c r="C666" s="9"/>
      <c r="D666" s="9"/>
      <c r="P666" s="9"/>
      <c r="Q666" s="27"/>
      <c r="R666" s="27"/>
      <c r="S666" s="27"/>
    </row>
    <row r="667">
      <c r="C667" s="9"/>
      <c r="D667" s="9"/>
      <c r="P667" s="9"/>
      <c r="Q667" s="27"/>
      <c r="R667" s="27"/>
      <c r="S667" s="27"/>
    </row>
    <row r="668">
      <c r="C668" s="9"/>
      <c r="D668" s="9"/>
      <c r="P668" s="9"/>
      <c r="Q668" s="27"/>
      <c r="R668" s="27"/>
      <c r="S668" s="27"/>
    </row>
    <row r="669">
      <c r="C669" s="9"/>
      <c r="D669" s="9"/>
      <c r="P669" s="9"/>
      <c r="Q669" s="27"/>
      <c r="R669" s="27"/>
      <c r="S669" s="27"/>
    </row>
    <row r="670">
      <c r="C670" s="9"/>
      <c r="D670" s="9"/>
      <c r="P670" s="9"/>
      <c r="Q670" s="27"/>
      <c r="R670" s="27"/>
      <c r="S670" s="27"/>
    </row>
    <row r="671">
      <c r="C671" s="9"/>
      <c r="D671" s="9"/>
      <c r="P671" s="9"/>
      <c r="Q671" s="27"/>
      <c r="R671" s="27"/>
      <c r="S671" s="27"/>
    </row>
    <row r="672">
      <c r="C672" s="9"/>
      <c r="D672" s="9"/>
      <c r="P672" s="9"/>
      <c r="Q672" s="27"/>
      <c r="R672" s="27"/>
      <c r="S672" s="27"/>
    </row>
    <row r="673">
      <c r="C673" s="9"/>
      <c r="D673" s="9"/>
      <c r="P673" s="9"/>
      <c r="Q673" s="27"/>
      <c r="R673" s="27"/>
      <c r="S673" s="27"/>
    </row>
    <row r="674">
      <c r="C674" s="9"/>
      <c r="D674" s="9"/>
      <c r="P674" s="9"/>
      <c r="Q674" s="27"/>
      <c r="R674" s="27"/>
      <c r="S674" s="27"/>
    </row>
    <row r="675">
      <c r="C675" s="9"/>
      <c r="D675" s="9"/>
      <c r="P675" s="9"/>
      <c r="Q675" s="27"/>
      <c r="R675" s="27"/>
      <c r="S675" s="27"/>
    </row>
    <row r="676">
      <c r="C676" s="9"/>
      <c r="D676" s="9"/>
      <c r="P676" s="9"/>
      <c r="Q676" s="27"/>
      <c r="R676" s="27"/>
      <c r="S676" s="27"/>
    </row>
    <row r="677">
      <c r="C677" s="9"/>
      <c r="D677" s="9"/>
      <c r="P677" s="9"/>
      <c r="Q677" s="27"/>
      <c r="R677" s="27"/>
      <c r="S677" s="27"/>
    </row>
    <row r="678">
      <c r="C678" s="9"/>
      <c r="D678" s="9"/>
      <c r="P678" s="9"/>
      <c r="Q678" s="27"/>
      <c r="R678" s="27"/>
      <c r="S678" s="27"/>
    </row>
    <row r="679">
      <c r="C679" s="9"/>
      <c r="D679" s="9"/>
      <c r="P679" s="9"/>
      <c r="Q679" s="27"/>
      <c r="R679" s="27"/>
      <c r="S679" s="27"/>
    </row>
    <row r="680">
      <c r="C680" s="9"/>
      <c r="D680" s="9"/>
      <c r="P680" s="9"/>
      <c r="Q680" s="27"/>
      <c r="R680" s="27"/>
      <c r="S680" s="27"/>
    </row>
    <row r="681">
      <c r="C681" s="9"/>
      <c r="D681" s="9"/>
      <c r="P681" s="9"/>
      <c r="Q681" s="27"/>
      <c r="R681" s="27"/>
      <c r="S681" s="27"/>
    </row>
    <row r="682">
      <c r="C682" s="9"/>
      <c r="D682" s="9"/>
      <c r="P682" s="9"/>
      <c r="Q682" s="27"/>
      <c r="R682" s="27"/>
      <c r="S682" s="27"/>
    </row>
    <row r="683">
      <c r="C683" s="9"/>
      <c r="D683" s="9"/>
      <c r="P683" s="9"/>
      <c r="Q683" s="27"/>
      <c r="R683" s="27"/>
      <c r="S683" s="27"/>
    </row>
    <row r="684">
      <c r="C684" s="9"/>
      <c r="D684" s="9"/>
      <c r="P684" s="9"/>
      <c r="Q684" s="27"/>
      <c r="R684" s="27"/>
      <c r="S684" s="27"/>
    </row>
    <row r="685">
      <c r="C685" s="9"/>
      <c r="D685" s="9"/>
      <c r="P685" s="9"/>
      <c r="Q685" s="27"/>
      <c r="R685" s="27"/>
      <c r="S685" s="27"/>
    </row>
    <row r="686">
      <c r="C686" s="9"/>
      <c r="D686" s="9"/>
      <c r="P686" s="9"/>
      <c r="Q686" s="27"/>
      <c r="R686" s="27"/>
      <c r="S686" s="27"/>
    </row>
    <row r="687">
      <c r="C687" s="9"/>
      <c r="D687" s="9"/>
      <c r="P687" s="9"/>
      <c r="Q687" s="27"/>
      <c r="R687" s="27"/>
      <c r="S687" s="27"/>
    </row>
    <row r="688">
      <c r="C688" s="9"/>
      <c r="D688" s="9"/>
      <c r="P688" s="9"/>
      <c r="Q688" s="27"/>
      <c r="R688" s="27"/>
      <c r="S688" s="27"/>
    </row>
    <row r="689">
      <c r="C689" s="9"/>
      <c r="D689" s="9"/>
      <c r="P689" s="9"/>
      <c r="Q689" s="27"/>
      <c r="R689" s="27"/>
      <c r="S689" s="27"/>
    </row>
    <row r="690">
      <c r="C690" s="9"/>
      <c r="D690" s="9"/>
      <c r="P690" s="9"/>
      <c r="Q690" s="27"/>
      <c r="R690" s="27"/>
      <c r="S690" s="27"/>
    </row>
    <row r="691">
      <c r="C691" s="9"/>
      <c r="D691" s="9"/>
      <c r="P691" s="9"/>
      <c r="Q691" s="27"/>
      <c r="R691" s="27"/>
      <c r="S691" s="27"/>
    </row>
    <row r="692">
      <c r="C692" s="9"/>
      <c r="D692" s="9"/>
      <c r="P692" s="9"/>
      <c r="Q692" s="27"/>
      <c r="R692" s="27"/>
      <c r="S692" s="27"/>
    </row>
    <row r="693">
      <c r="C693" s="9"/>
      <c r="D693" s="9"/>
      <c r="P693" s="9"/>
      <c r="Q693" s="27"/>
      <c r="R693" s="27"/>
      <c r="S693" s="27"/>
    </row>
    <row r="694">
      <c r="C694" s="9"/>
      <c r="D694" s="9"/>
      <c r="P694" s="9"/>
      <c r="Q694" s="27"/>
      <c r="R694" s="27"/>
      <c r="S694" s="27"/>
    </row>
    <row r="695">
      <c r="C695" s="9"/>
      <c r="D695" s="9"/>
      <c r="P695" s="9"/>
      <c r="Q695" s="27"/>
      <c r="R695" s="27"/>
      <c r="S695" s="27"/>
    </row>
    <row r="696">
      <c r="C696" s="9"/>
      <c r="D696" s="9"/>
      <c r="P696" s="9"/>
      <c r="Q696" s="27"/>
      <c r="R696" s="27"/>
      <c r="S696" s="27"/>
    </row>
    <row r="697">
      <c r="C697" s="9"/>
      <c r="D697" s="9"/>
      <c r="P697" s="9"/>
      <c r="Q697" s="27"/>
      <c r="R697" s="27"/>
      <c r="S697" s="27"/>
    </row>
    <row r="698">
      <c r="C698" s="9"/>
      <c r="D698" s="9"/>
      <c r="P698" s="9"/>
      <c r="Q698" s="27"/>
      <c r="R698" s="27"/>
      <c r="S698" s="27"/>
    </row>
    <row r="699">
      <c r="C699" s="9"/>
      <c r="D699" s="9"/>
      <c r="P699" s="9"/>
      <c r="Q699" s="27"/>
      <c r="R699" s="27"/>
      <c r="S699" s="27"/>
    </row>
    <row r="700">
      <c r="C700" s="9"/>
      <c r="D700" s="9"/>
      <c r="P700" s="9"/>
      <c r="Q700" s="27"/>
      <c r="R700" s="27"/>
      <c r="S700" s="27"/>
    </row>
    <row r="701">
      <c r="C701" s="9"/>
      <c r="D701" s="9"/>
      <c r="P701" s="9"/>
      <c r="Q701" s="27"/>
      <c r="R701" s="27"/>
      <c r="S701" s="27"/>
    </row>
    <row r="702">
      <c r="C702" s="9"/>
      <c r="D702" s="9"/>
      <c r="P702" s="9"/>
      <c r="Q702" s="27"/>
      <c r="R702" s="27"/>
      <c r="S702" s="27"/>
    </row>
    <row r="703">
      <c r="C703" s="9"/>
      <c r="D703" s="9"/>
      <c r="P703" s="9"/>
      <c r="Q703" s="27"/>
      <c r="R703" s="27"/>
      <c r="S703" s="27"/>
    </row>
    <row r="704">
      <c r="C704" s="9"/>
      <c r="D704" s="9"/>
      <c r="P704" s="9"/>
      <c r="Q704" s="27"/>
      <c r="R704" s="27"/>
      <c r="S704" s="27"/>
    </row>
    <row r="705">
      <c r="C705" s="9"/>
      <c r="D705" s="9"/>
      <c r="P705" s="9"/>
      <c r="Q705" s="27"/>
      <c r="R705" s="27"/>
      <c r="S705" s="27"/>
    </row>
    <row r="706">
      <c r="C706" s="9"/>
      <c r="D706" s="9"/>
      <c r="P706" s="9"/>
      <c r="Q706" s="27"/>
      <c r="R706" s="27"/>
      <c r="S706" s="27"/>
    </row>
    <row r="707">
      <c r="C707" s="9"/>
      <c r="D707" s="9"/>
      <c r="P707" s="9"/>
      <c r="Q707" s="27"/>
      <c r="R707" s="27"/>
      <c r="S707" s="27"/>
    </row>
    <row r="708">
      <c r="C708" s="9"/>
      <c r="D708" s="9"/>
      <c r="P708" s="9"/>
      <c r="Q708" s="27"/>
      <c r="R708" s="27"/>
      <c r="S708" s="27"/>
    </row>
    <row r="709">
      <c r="C709" s="9"/>
      <c r="D709" s="9"/>
      <c r="P709" s="9"/>
      <c r="Q709" s="27"/>
      <c r="R709" s="27"/>
      <c r="S709" s="27"/>
    </row>
    <row r="710">
      <c r="C710" s="9"/>
      <c r="D710" s="9"/>
      <c r="P710" s="9"/>
      <c r="Q710" s="27"/>
      <c r="R710" s="27"/>
      <c r="S710" s="27"/>
    </row>
    <row r="711">
      <c r="C711" s="9"/>
      <c r="D711" s="9"/>
      <c r="P711" s="9"/>
      <c r="Q711" s="27"/>
      <c r="R711" s="27"/>
      <c r="S711" s="27"/>
    </row>
    <row r="712">
      <c r="C712" s="9"/>
      <c r="D712" s="9"/>
      <c r="P712" s="9"/>
      <c r="Q712" s="27"/>
      <c r="R712" s="27"/>
      <c r="S712" s="27"/>
    </row>
    <row r="713">
      <c r="C713" s="9"/>
      <c r="D713" s="9"/>
      <c r="P713" s="9"/>
      <c r="Q713" s="27"/>
      <c r="R713" s="27"/>
      <c r="S713" s="27"/>
    </row>
    <row r="714">
      <c r="C714" s="9"/>
      <c r="D714" s="9"/>
      <c r="P714" s="9"/>
      <c r="Q714" s="27"/>
      <c r="R714" s="27"/>
      <c r="S714" s="27"/>
    </row>
    <row r="715">
      <c r="C715" s="9"/>
      <c r="D715" s="9"/>
      <c r="P715" s="9"/>
      <c r="Q715" s="27"/>
      <c r="R715" s="27"/>
      <c r="S715" s="27"/>
    </row>
    <row r="716">
      <c r="C716" s="9"/>
      <c r="D716" s="9"/>
      <c r="P716" s="9"/>
      <c r="Q716" s="27"/>
      <c r="R716" s="27"/>
      <c r="S716" s="27"/>
    </row>
    <row r="717">
      <c r="C717" s="9"/>
      <c r="D717" s="9"/>
      <c r="P717" s="9"/>
      <c r="Q717" s="27"/>
      <c r="R717" s="27"/>
      <c r="S717" s="27"/>
    </row>
    <row r="718">
      <c r="C718" s="9"/>
      <c r="D718" s="9"/>
      <c r="P718" s="9"/>
      <c r="Q718" s="27"/>
      <c r="R718" s="27"/>
      <c r="S718" s="27"/>
    </row>
    <row r="719">
      <c r="C719" s="9"/>
      <c r="D719" s="9"/>
      <c r="P719" s="9"/>
      <c r="Q719" s="27"/>
      <c r="R719" s="27"/>
      <c r="S719" s="27"/>
    </row>
    <row r="720">
      <c r="C720" s="9"/>
      <c r="D720" s="9"/>
      <c r="P720" s="9"/>
      <c r="Q720" s="27"/>
      <c r="R720" s="27"/>
      <c r="S720" s="27"/>
    </row>
    <row r="721">
      <c r="C721" s="9"/>
      <c r="D721" s="9"/>
      <c r="P721" s="9"/>
      <c r="Q721" s="27"/>
      <c r="R721" s="27"/>
      <c r="S721" s="27"/>
    </row>
    <row r="722">
      <c r="C722" s="9"/>
      <c r="D722" s="9"/>
      <c r="P722" s="9"/>
      <c r="Q722" s="27"/>
      <c r="R722" s="27"/>
      <c r="S722" s="27"/>
    </row>
    <row r="723">
      <c r="C723" s="9"/>
      <c r="D723" s="9"/>
      <c r="P723" s="9"/>
      <c r="Q723" s="27"/>
      <c r="R723" s="27"/>
      <c r="S723" s="27"/>
    </row>
    <row r="724">
      <c r="C724" s="9"/>
      <c r="D724" s="9"/>
      <c r="P724" s="9"/>
      <c r="Q724" s="27"/>
      <c r="R724" s="27"/>
      <c r="S724" s="27"/>
    </row>
    <row r="725">
      <c r="C725" s="9"/>
      <c r="D725" s="9"/>
      <c r="P725" s="9"/>
      <c r="Q725" s="27"/>
      <c r="R725" s="27"/>
      <c r="S725" s="27"/>
    </row>
    <row r="726">
      <c r="C726" s="9"/>
      <c r="D726" s="9"/>
      <c r="P726" s="9"/>
      <c r="Q726" s="27"/>
      <c r="R726" s="27"/>
      <c r="S726" s="27"/>
    </row>
    <row r="727">
      <c r="C727" s="9"/>
      <c r="D727" s="9"/>
      <c r="P727" s="9"/>
      <c r="Q727" s="27"/>
      <c r="R727" s="27"/>
      <c r="S727" s="27"/>
    </row>
    <row r="728">
      <c r="C728" s="9"/>
      <c r="D728" s="9"/>
      <c r="P728" s="9"/>
      <c r="Q728" s="27"/>
      <c r="R728" s="27"/>
      <c r="S728" s="27"/>
    </row>
    <row r="729">
      <c r="C729" s="9"/>
      <c r="D729" s="9"/>
      <c r="P729" s="9"/>
      <c r="Q729" s="27"/>
      <c r="R729" s="27"/>
      <c r="S729" s="27"/>
    </row>
    <row r="730">
      <c r="C730" s="9"/>
      <c r="D730" s="9"/>
      <c r="P730" s="9"/>
      <c r="Q730" s="27"/>
      <c r="R730" s="27"/>
      <c r="S730" s="27"/>
    </row>
    <row r="731">
      <c r="C731" s="9"/>
      <c r="D731" s="9"/>
      <c r="P731" s="9"/>
      <c r="Q731" s="27"/>
      <c r="R731" s="27"/>
      <c r="S731" s="27"/>
    </row>
    <row r="732">
      <c r="C732" s="9"/>
      <c r="D732" s="9"/>
      <c r="P732" s="9"/>
      <c r="Q732" s="27"/>
      <c r="R732" s="27"/>
      <c r="S732" s="27"/>
    </row>
    <row r="733">
      <c r="C733" s="9"/>
      <c r="D733" s="9"/>
      <c r="P733" s="9"/>
      <c r="Q733" s="27"/>
      <c r="R733" s="27"/>
      <c r="S733" s="27"/>
    </row>
    <row r="734">
      <c r="C734" s="9"/>
      <c r="D734" s="9"/>
      <c r="P734" s="9"/>
      <c r="Q734" s="27"/>
      <c r="R734" s="27"/>
      <c r="S734" s="27"/>
    </row>
    <row r="735">
      <c r="C735" s="9"/>
      <c r="D735" s="9"/>
      <c r="P735" s="9"/>
      <c r="Q735" s="27"/>
      <c r="R735" s="27"/>
      <c r="S735" s="27"/>
    </row>
    <row r="736">
      <c r="C736" s="9"/>
      <c r="D736" s="9"/>
      <c r="P736" s="9"/>
      <c r="Q736" s="27"/>
      <c r="R736" s="27"/>
      <c r="S736" s="27"/>
    </row>
    <row r="737">
      <c r="C737" s="9"/>
      <c r="D737" s="9"/>
      <c r="P737" s="9"/>
      <c r="Q737" s="27"/>
      <c r="R737" s="27"/>
      <c r="S737" s="27"/>
    </row>
    <row r="738">
      <c r="C738" s="9"/>
      <c r="D738" s="9"/>
      <c r="P738" s="9"/>
      <c r="Q738" s="27"/>
      <c r="R738" s="27"/>
      <c r="S738" s="27"/>
    </row>
    <row r="739">
      <c r="C739" s="9"/>
      <c r="D739" s="9"/>
      <c r="P739" s="9"/>
      <c r="Q739" s="27"/>
      <c r="R739" s="27"/>
      <c r="S739" s="27"/>
    </row>
    <row r="740">
      <c r="C740" s="9"/>
      <c r="D740" s="9"/>
      <c r="P740" s="9"/>
      <c r="Q740" s="27"/>
      <c r="R740" s="27"/>
      <c r="S740" s="27"/>
    </row>
    <row r="741">
      <c r="C741" s="9"/>
      <c r="D741" s="9"/>
      <c r="P741" s="9"/>
      <c r="Q741" s="27"/>
      <c r="R741" s="27"/>
      <c r="S741" s="27"/>
    </row>
    <row r="742">
      <c r="C742" s="9"/>
      <c r="D742" s="9"/>
      <c r="P742" s="9"/>
      <c r="Q742" s="27"/>
      <c r="R742" s="27"/>
      <c r="S742" s="27"/>
    </row>
    <row r="743">
      <c r="C743" s="9"/>
      <c r="D743" s="9"/>
      <c r="P743" s="9"/>
      <c r="Q743" s="27"/>
      <c r="R743" s="27"/>
      <c r="S743" s="27"/>
    </row>
    <row r="744">
      <c r="C744" s="9"/>
      <c r="D744" s="9"/>
      <c r="P744" s="9"/>
      <c r="Q744" s="27"/>
      <c r="R744" s="27"/>
      <c r="S744" s="27"/>
    </row>
    <row r="745">
      <c r="C745" s="9"/>
      <c r="D745" s="9"/>
      <c r="P745" s="9"/>
      <c r="Q745" s="27"/>
      <c r="R745" s="27"/>
      <c r="S745" s="27"/>
    </row>
    <row r="746">
      <c r="C746" s="9"/>
      <c r="D746" s="9"/>
      <c r="P746" s="9"/>
      <c r="Q746" s="27"/>
      <c r="R746" s="27"/>
      <c r="S746" s="27"/>
    </row>
    <row r="747">
      <c r="C747" s="9"/>
      <c r="D747" s="9"/>
      <c r="P747" s="9"/>
      <c r="Q747" s="27"/>
      <c r="R747" s="27"/>
      <c r="S747" s="27"/>
    </row>
    <row r="748">
      <c r="C748" s="9"/>
      <c r="D748" s="9"/>
      <c r="P748" s="9"/>
      <c r="Q748" s="27"/>
      <c r="R748" s="27"/>
      <c r="S748" s="27"/>
    </row>
    <row r="749">
      <c r="C749" s="9"/>
      <c r="D749" s="9"/>
      <c r="P749" s="9"/>
      <c r="Q749" s="27"/>
      <c r="R749" s="27"/>
      <c r="S749" s="27"/>
    </row>
    <row r="750">
      <c r="C750" s="9"/>
      <c r="D750" s="9"/>
      <c r="P750" s="9"/>
      <c r="Q750" s="27"/>
      <c r="R750" s="27"/>
      <c r="S750" s="27"/>
    </row>
    <row r="751">
      <c r="C751" s="9"/>
      <c r="D751" s="9"/>
      <c r="P751" s="9"/>
      <c r="Q751" s="27"/>
      <c r="R751" s="27"/>
      <c r="S751" s="27"/>
    </row>
    <row r="752">
      <c r="C752" s="9"/>
      <c r="D752" s="9"/>
      <c r="P752" s="9"/>
      <c r="Q752" s="27"/>
      <c r="R752" s="27"/>
      <c r="S752" s="27"/>
    </row>
    <row r="753">
      <c r="C753" s="9"/>
      <c r="D753" s="9"/>
      <c r="P753" s="9"/>
      <c r="Q753" s="27"/>
      <c r="R753" s="27"/>
      <c r="S753" s="27"/>
    </row>
    <row r="754">
      <c r="C754" s="9"/>
      <c r="D754" s="9"/>
      <c r="P754" s="9"/>
      <c r="Q754" s="27"/>
      <c r="R754" s="27"/>
      <c r="S754" s="27"/>
    </row>
    <row r="755">
      <c r="C755" s="9"/>
      <c r="D755" s="9"/>
      <c r="P755" s="9"/>
      <c r="Q755" s="27"/>
      <c r="R755" s="27"/>
      <c r="S755" s="27"/>
    </row>
    <row r="756">
      <c r="C756" s="9"/>
      <c r="D756" s="9"/>
      <c r="P756" s="9"/>
      <c r="Q756" s="27"/>
      <c r="R756" s="27"/>
      <c r="S756" s="27"/>
    </row>
    <row r="757">
      <c r="C757" s="9"/>
      <c r="D757" s="9"/>
      <c r="P757" s="9"/>
      <c r="Q757" s="27"/>
      <c r="R757" s="27"/>
      <c r="S757" s="27"/>
    </row>
    <row r="758">
      <c r="C758" s="9"/>
      <c r="D758" s="9"/>
      <c r="P758" s="9"/>
      <c r="Q758" s="27"/>
      <c r="R758" s="27"/>
      <c r="S758" s="27"/>
    </row>
    <row r="759">
      <c r="C759" s="9"/>
      <c r="D759" s="9"/>
      <c r="P759" s="9"/>
      <c r="Q759" s="27"/>
      <c r="R759" s="27"/>
      <c r="S759" s="27"/>
    </row>
    <row r="760">
      <c r="C760" s="9"/>
      <c r="D760" s="9"/>
      <c r="P760" s="9"/>
      <c r="Q760" s="27"/>
      <c r="R760" s="27"/>
      <c r="S760" s="27"/>
    </row>
    <row r="761">
      <c r="C761" s="9"/>
      <c r="D761" s="9"/>
      <c r="P761" s="9"/>
      <c r="Q761" s="27"/>
      <c r="R761" s="27"/>
      <c r="S761" s="27"/>
    </row>
    <row r="762">
      <c r="C762" s="9"/>
      <c r="D762" s="9"/>
      <c r="P762" s="9"/>
      <c r="Q762" s="27"/>
      <c r="R762" s="27"/>
      <c r="S762" s="27"/>
    </row>
    <row r="763">
      <c r="C763" s="9"/>
      <c r="D763" s="9"/>
      <c r="P763" s="9"/>
      <c r="Q763" s="27"/>
      <c r="R763" s="27"/>
      <c r="S763" s="27"/>
    </row>
    <row r="764">
      <c r="C764" s="9"/>
      <c r="D764" s="9"/>
      <c r="P764" s="9"/>
      <c r="Q764" s="27"/>
      <c r="R764" s="27"/>
      <c r="S764" s="27"/>
    </row>
    <row r="765">
      <c r="C765" s="9"/>
      <c r="D765" s="9"/>
      <c r="P765" s="9"/>
      <c r="Q765" s="27"/>
      <c r="R765" s="27"/>
      <c r="S765" s="27"/>
    </row>
    <row r="766">
      <c r="C766" s="9"/>
      <c r="D766" s="9"/>
      <c r="P766" s="9"/>
      <c r="Q766" s="27"/>
      <c r="R766" s="27"/>
      <c r="S766" s="27"/>
    </row>
    <row r="767">
      <c r="C767" s="9"/>
      <c r="D767" s="9"/>
      <c r="P767" s="9"/>
      <c r="Q767" s="27"/>
      <c r="R767" s="27"/>
      <c r="S767" s="27"/>
    </row>
    <row r="768">
      <c r="C768" s="9"/>
      <c r="D768" s="9"/>
      <c r="P768" s="9"/>
      <c r="Q768" s="27"/>
      <c r="R768" s="27"/>
      <c r="S768" s="27"/>
    </row>
    <row r="769">
      <c r="C769" s="9"/>
      <c r="D769" s="9"/>
      <c r="P769" s="9"/>
      <c r="Q769" s="27"/>
      <c r="R769" s="27"/>
      <c r="S769" s="27"/>
    </row>
    <row r="770">
      <c r="C770" s="9"/>
      <c r="D770" s="9"/>
      <c r="P770" s="9"/>
      <c r="Q770" s="27"/>
      <c r="R770" s="27"/>
      <c r="S770" s="27"/>
    </row>
    <row r="771">
      <c r="C771" s="9"/>
      <c r="D771" s="9"/>
      <c r="P771" s="9"/>
      <c r="Q771" s="27"/>
      <c r="R771" s="27"/>
      <c r="S771" s="27"/>
    </row>
    <row r="772">
      <c r="C772" s="9"/>
      <c r="D772" s="9"/>
      <c r="P772" s="9"/>
      <c r="Q772" s="27"/>
      <c r="R772" s="27"/>
      <c r="S772" s="27"/>
    </row>
    <row r="773">
      <c r="C773" s="9"/>
      <c r="D773" s="9"/>
      <c r="P773" s="9"/>
      <c r="Q773" s="27"/>
      <c r="R773" s="27"/>
      <c r="S773" s="27"/>
    </row>
    <row r="774">
      <c r="C774" s="9"/>
      <c r="D774" s="9"/>
      <c r="P774" s="9"/>
      <c r="Q774" s="27"/>
      <c r="R774" s="27"/>
      <c r="S774" s="27"/>
    </row>
    <row r="775">
      <c r="C775" s="9"/>
      <c r="D775" s="9"/>
      <c r="P775" s="9"/>
      <c r="Q775" s="27"/>
      <c r="R775" s="27"/>
      <c r="S775" s="27"/>
    </row>
    <row r="776">
      <c r="C776" s="9"/>
      <c r="D776" s="9"/>
      <c r="P776" s="9"/>
      <c r="Q776" s="27"/>
      <c r="R776" s="27"/>
      <c r="S776" s="27"/>
    </row>
    <row r="777">
      <c r="C777" s="9"/>
      <c r="D777" s="9"/>
      <c r="P777" s="9"/>
      <c r="Q777" s="27"/>
      <c r="R777" s="27"/>
      <c r="S777" s="27"/>
    </row>
    <row r="778">
      <c r="C778" s="9"/>
      <c r="D778" s="9"/>
      <c r="P778" s="9"/>
      <c r="Q778" s="27"/>
      <c r="R778" s="27"/>
      <c r="S778" s="27"/>
    </row>
    <row r="779">
      <c r="C779" s="9"/>
      <c r="D779" s="9"/>
      <c r="P779" s="9"/>
      <c r="Q779" s="27"/>
      <c r="R779" s="27"/>
      <c r="S779" s="27"/>
    </row>
    <row r="780">
      <c r="C780" s="9"/>
      <c r="D780" s="9"/>
      <c r="P780" s="9"/>
      <c r="Q780" s="27"/>
      <c r="R780" s="27"/>
      <c r="S780" s="27"/>
    </row>
    <row r="781">
      <c r="C781" s="9"/>
      <c r="D781" s="9"/>
      <c r="P781" s="9"/>
      <c r="Q781" s="27"/>
      <c r="R781" s="27"/>
      <c r="S781" s="27"/>
    </row>
    <row r="782">
      <c r="C782" s="9"/>
      <c r="D782" s="9"/>
      <c r="P782" s="9"/>
      <c r="Q782" s="27"/>
      <c r="R782" s="27"/>
      <c r="S782" s="27"/>
    </row>
    <row r="783">
      <c r="C783" s="9"/>
      <c r="D783" s="9"/>
      <c r="P783" s="9"/>
      <c r="Q783" s="27"/>
      <c r="R783" s="27"/>
      <c r="S783" s="27"/>
    </row>
    <row r="784">
      <c r="C784" s="9"/>
      <c r="D784" s="9"/>
      <c r="P784" s="9"/>
      <c r="Q784" s="27"/>
      <c r="R784" s="27"/>
      <c r="S784" s="27"/>
    </row>
    <row r="785">
      <c r="C785" s="9"/>
      <c r="D785" s="9"/>
      <c r="P785" s="9"/>
      <c r="Q785" s="27"/>
      <c r="R785" s="27"/>
      <c r="S785" s="27"/>
    </row>
    <row r="786">
      <c r="C786" s="9"/>
      <c r="D786" s="9"/>
      <c r="P786" s="9"/>
      <c r="Q786" s="27"/>
      <c r="R786" s="27"/>
      <c r="S786" s="27"/>
    </row>
    <row r="787">
      <c r="C787" s="9"/>
      <c r="D787" s="9"/>
      <c r="P787" s="9"/>
      <c r="Q787" s="27"/>
      <c r="R787" s="27"/>
      <c r="S787" s="27"/>
    </row>
    <row r="788">
      <c r="C788" s="9"/>
      <c r="D788" s="9"/>
      <c r="P788" s="9"/>
      <c r="Q788" s="27"/>
      <c r="R788" s="27"/>
      <c r="S788" s="27"/>
    </row>
    <row r="789">
      <c r="C789" s="9"/>
      <c r="D789" s="9"/>
      <c r="P789" s="9"/>
      <c r="Q789" s="27"/>
      <c r="R789" s="27"/>
      <c r="S789" s="27"/>
    </row>
    <row r="790">
      <c r="C790" s="9"/>
      <c r="D790" s="9"/>
      <c r="P790" s="9"/>
      <c r="Q790" s="27"/>
      <c r="R790" s="27"/>
      <c r="S790" s="27"/>
    </row>
    <row r="791">
      <c r="C791" s="9"/>
      <c r="D791" s="9"/>
      <c r="P791" s="9"/>
      <c r="Q791" s="27"/>
      <c r="R791" s="27"/>
      <c r="S791" s="27"/>
    </row>
    <row r="792">
      <c r="C792" s="9"/>
      <c r="D792" s="9"/>
      <c r="P792" s="9"/>
      <c r="Q792" s="27"/>
      <c r="R792" s="27"/>
      <c r="S792" s="27"/>
    </row>
    <row r="793">
      <c r="C793" s="9"/>
      <c r="D793" s="9"/>
      <c r="P793" s="9"/>
      <c r="Q793" s="27"/>
      <c r="R793" s="27"/>
      <c r="S793" s="27"/>
    </row>
    <row r="794">
      <c r="C794" s="9"/>
      <c r="D794" s="9"/>
      <c r="P794" s="9"/>
      <c r="Q794" s="27"/>
      <c r="R794" s="27"/>
      <c r="S794" s="27"/>
    </row>
    <row r="795">
      <c r="C795" s="9"/>
      <c r="D795" s="9"/>
      <c r="P795" s="9"/>
      <c r="Q795" s="27"/>
      <c r="R795" s="27"/>
      <c r="S795" s="27"/>
    </row>
    <row r="796">
      <c r="C796" s="9"/>
      <c r="D796" s="9"/>
      <c r="P796" s="9"/>
      <c r="Q796" s="27"/>
      <c r="R796" s="27"/>
      <c r="S796" s="27"/>
    </row>
    <row r="797">
      <c r="C797" s="9"/>
      <c r="D797" s="9"/>
      <c r="P797" s="9"/>
      <c r="Q797" s="27"/>
      <c r="R797" s="27"/>
      <c r="S797" s="27"/>
    </row>
    <row r="798">
      <c r="C798" s="9"/>
      <c r="D798" s="9"/>
      <c r="P798" s="9"/>
      <c r="Q798" s="27"/>
      <c r="R798" s="27"/>
      <c r="S798" s="27"/>
    </row>
    <row r="799">
      <c r="C799" s="9"/>
      <c r="D799" s="9"/>
      <c r="P799" s="9"/>
      <c r="Q799" s="27"/>
      <c r="R799" s="27"/>
      <c r="S799" s="27"/>
    </row>
    <row r="800">
      <c r="C800" s="9"/>
      <c r="D800" s="9"/>
      <c r="P800" s="9"/>
      <c r="Q800" s="27"/>
      <c r="R800" s="27"/>
      <c r="S800" s="27"/>
    </row>
    <row r="801">
      <c r="C801" s="9"/>
      <c r="D801" s="9"/>
      <c r="P801" s="9"/>
      <c r="Q801" s="27"/>
      <c r="R801" s="27"/>
      <c r="S801" s="27"/>
    </row>
    <row r="802">
      <c r="C802" s="9"/>
      <c r="D802" s="9"/>
      <c r="P802" s="9"/>
      <c r="Q802" s="27"/>
      <c r="R802" s="27"/>
      <c r="S802" s="27"/>
    </row>
    <row r="803">
      <c r="C803" s="9"/>
      <c r="D803" s="9"/>
      <c r="P803" s="9"/>
      <c r="Q803" s="27"/>
      <c r="R803" s="27"/>
      <c r="S803" s="27"/>
    </row>
    <row r="804">
      <c r="C804" s="9"/>
      <c r="D804" s="9"/>
      <c r="P804" s="9"/>
      <c r="Q804" s="27"/>
      <c r="R804" s="27"/>
      <c r="S804" s="27"/>
    </row>
    <row r="805">
      <c r="C805" s="9"/>
      <c r="D805" s="9"/>
      <c r="P805" s="9"/>
      <c r="Q805" s="27"/>
      <c r="R805" s="27"/>
      <c r="S805" s="27"/>
    </row>
    <row r="806">
      <c r="C806" s="9"/>
      <c r="D806" s="9"/>
      <c r="P806" s="9"/>
      <c r="Q806" s="27"/>
      <c r="R806" s="27"/>
      <c r="S806" s="27"/>
    </row>
    <row r="807">
      <c r="C807" s="9"/>
      <c r="D807" s="9"/>
      <c r="P807" s="9"/>
      <c r="Q807" s="27"/>
      <c r="R807" s="27"/>
      <c r="S807" s="27"/>
    </row>
    <row r="808">
      <c r="C808" s="9"/>
      <c r="D808" s="9"/>
      <c r="P808" s="9"/>
      <c r="Q808" s="27"/>
      <c r="R808" s="27"/>
      <c r="S808" s="27"/>
    </row>
    <row r="809">
      <c r="C809" s="9"/>
      <c r="D809" s="9"/>
      <c r="P809" s="9"/>
      <c r="Q809" s="27"/>
      <c r="R809" s="27"/>
      <c r="S809" s="27"/>
    </row>
    <row r="810">
      <c r="C810" s="9"/>
      <c r="D810" s="9"/>
      <c r="P810" s="9"/>
      <c r="Q810" s="27"/>
      <c r="R810" s="27"/>
      <c r="S810" s="27"/>
    </row>
    <row r="811">
      <c r="C811" s="9"/>
      <c r="D811" s="9"/>
      <c r="P811" s="9"/>
      <c r="Q811" s="27"/>
      <c r="R811" s="27"/>
      <c r="S811" s="27"/>
    </row>
    <row r="812">
      <c r="C812" s="9"/>
      <c r="D812" s="9"/>
      <c r="P812" s="9"/>
      <c r="Q812" s="27"/>
      <c r="R812" s="27"/>
      <c r="S812" s="27"/>
    </row>
    <row r="813">
      <c r="C813" s="9"/>
      <c r="D813" s="9"/>
      <c r="P813" s="9"/>
      <c r="Q813" s="27"/>
      <c r="R813" s="27"/>
      <c r="S813" s="27"/>
    </row>
    <row r="814">
      <c r="C814" s="9"/>
      <c r="D814" s="9"/>
      <c r="P814" s="9"/>
      <c r="Q814" s="27"/>
      <c r="R814" s="27"/>
      <c r="S814" s="27"/>
    </row>
    <row r="815">
      <c r="C815" s="9"/>
      <c r="D815" s="9"/>
      <c r="P815" s="9"/>
      <c r="Q815" s="27"/>
      <c r="R815" s="27"/>
      <c r="S815" s="27"/>
    </row>
    <row r="816">
      <c r="C816" s="9"/>
      <c r="D816" s="9"/>
      <c r="P816" s="9"/>
      <c r="Q816" s="27"/>
      <c r="R816" s="27"/>
      <c r="S816" s="27"/>
    </row>
    <row r="817">
      <c r="C817" s="9"/>
      <c r="D817" s="9"/>
      <c r="P817" s="9"/>
      <c r="Q817" s="27"/>
      <c r="R817" s="27"/>
      <c r="S817" s="27"/>
    </row>
    <row r="818">
      <c r="C818" s="9"/>
      <c r="D818" s="9"/>
      <c r="P818" s="9"/>
      <c r="Q818" s="27"/>
      <c r="R818" s="27"/>
      <c r="S818" s="27"/>
    </row>
    <row r="819">
      <c r="C819" s="9"/>
      <c r="D819" s="9"/>
      <c r="P819" s="9"/>
      <c r="Q819" s="27"/>
      <c r="R819" s="27"/>
      <c r="S819" s="27"/>
    </row>
    <row r="820">
      <c r="C820" s="9"/>
      <c r="D820" s="9"/>
      <c r="P820" s="9"/>
      <c r="Q820" s="27"/>
      <c r="R820" s="27"/>
      <c r="S820" s="27"/>
    </row>
    <row r="821">
      <c r="C821" s="9"/>
      <c r="D821" s="9"/>
      <c r="P821" s="9"/>
      <c r="Q821" s="27"/>
      <c r="R821" s="27"/>
      <c r="S821" s="27"/>
    </row>
    <row r="822">
      <c r="C822" s="9"/>
      <c r="D822" s="9"/>
      <c r="P822" s="9"/>
      <c r="Q822" s="27"/>
      <c r="R822" s="27"/>
      <c r="S822" s="27"/>
    </row>
    <row r="823">
      <c r="C823" s="9"/>
      <c r="D823" s="9"/>
      <c r="P823" s="9"/>
      <c r="Q823" s="27"/>
      <c r="R823" s="27"/>
      <c r="S823" s="27"/>
    </row>
    <row r="824">
      <c r="C824" s="9"/>
      <c r="D824" s="9"/>
      <c r="P824" s="9"/>
      <c r="Q824" s="27"/>
      <c r="R824" s="27"/>
      <c r="S824" s="27"/>
    </row>
    <row r="825">
      <c r="C825" s="9"/>
      <c r="D825" s="9"/>
      <c r="P825" s="9"/>
      <c r="Q825" s="27"/>
      <c r="R825" s="27"/>
      <c r="S825" s="27"/>
    </row>
    <row r="826">
      <c r="C826" s="9"/>
      <c r="D826" s="9"/>
      <c r="P826" s="9"/>
      <c r="Q826" s="27"/>
      <c r="R826" s="27"/>
      <c r="S826" s="27"/>
    </row>
    <row r="827">
      <c r="C827" s="9"/>
      <c r="D827" s="9"/>
      <c r="P827" s="9"/>
      <c r="Q827" s="27"/>
      <c r="R827" s="27"/>
      <c r="S827" s="27"/>
    </row>
    <row r="828">
      <c r="C828" s="9"/>
      <c r="D828" s="9"/>
      <c r="P828" s="9"/>
      <c r="Q828" s="27"/>
      <c r="R828" s="27"/>
      <c r="S828" s="27"/>
    </row>
    <row r="829">
      <c r="C829" s="9"/>
      <c r="D829" s="9"/>
      <c r="P829" s="9"/>
      <c r="Q829" s="27"/>
      <c r="R829" s="27"/>
      <c r="S829" s="27"/>
    </row>
    <row r="830">
      <c r="C830" s="9"/>
      <c r="D830" s="9"/>
      <c r="P830" s="9"/>
      <c r="Q830" s="27"/>
      <c r="R830" s="27"/>
      <c r="S830" s="27"/>
    </row>
    <row r="831">
      <c r="C831" s="9"/>
      <c r="D831" s="9"/>
      <c r="P831" s="9"/>
      <c r="Q831" s="27"/>
      <c r="R831" s="27"/>
      <c r="S831" s="27"/>
    </row>
    <row r="832">
      <c r="C832" s="9"/>
      <c r="D832" s="9"/>
      <c r="P832" s="9"/>
      <c r="Q832" s="27"/>
      <c r="R832" s="27"/>
      <c r="S832" s="27"/>
    </row>
    <row r="833">
      <c r="C833" s="9"/>
      <c r="D833" s="9"/>
      <c r="P833" s="9"/>
      <c r="Q833" s="27"/>
      <c r="R833" s="27"/>
      <c r="S833" s="27"/>
    </row>
    <row r="834">
      <c r="C834" s="9"/>
      <c r="D834" s="9"/>
      <c r="P834" s="9"/>
      <c r="Q834" s="27"/>
      <c r="R834" s="27"/>
      <c r="S834" s="27"/>
    </row>
    <row r="835">
      <c r="C835" s="9"/>
      <c r="D835" s="9"/>
      <c r="P835" s="9"/>
      <c r="Q835" s="27"/>
      <c r="R835" s="27"/>
      <c r="S835" s="27"/>
    </row>
    <row r="836">
      <c r="C836" s="9"/>
      <c r="D836" s="9"/>
      <c r="P836" s="9"/>
      <c r="Q836" s="27"/>
      <c r="R836" s="27"/>
      <c r="S836" s="27"/>
    </row>
    <row r="837">
      <c r="C837" s="9"/>
      <c r="D837" s="9"/>
      <c r="P837" s="9"/>
      <c r="Q837" s="27"/>
      <c r="R837" s="27"/>
      <c r="S837" s="27"/>
    </row>
    <row r="838">
      <c r="C838" s="9"/>
      <c r="D838" s="9"/>
      <c r="P838" s="9"/>
      <c r="Q838" s="27"/>
      <c r="R838" s="27"/>
      <c r="S838" s="27"/>
    </row>
    <row r="839">
      <c r="C839" s="9"/>
      <c r="D839" s="9"/>
      <c r="P839" s="9"/>
      <c r="Q839" s="27"/>
      <c r="R839" s="27"/>
      <c r="S839" s="27"/>
    </row>
    <row r="840">
      <c r="C840" s="9"/>
      <c r="D840" s="9"/>
      <c r="P840" s="9"/>
      <c r="Q840" s="27"/>
      <c r="R840" s="27"/>
      <c r="S840" s="27"/>
    </row>
    <row r="841">
      <c r="C841" s="9"/>
      <c r="D841" s="9"/>
      <c r="P841" s="9"/>
      <c r="Q841" s="27"/>
      <c r="R841" s="27"/>
      <c r="S841" s="27"/>
    </row>
    <row r="842">
      <c r="C842" s="9"/>
      <c r="D842" s="9"/>
      <c r="P842" s="9"/>
      <c r="Q842" s="27"/>
      <c r="R842" s="27"/>
      <c r="S842" s="27"/>
    </row>
    <row r="843">
      <c r="C843" s="9"/>
      <c r="D843" s="9"/>
      <c r="P843" s="9"/>
      <c r="Q843" s="27"/>
      <c r="R843" s="27"/>
      <c r="S843" s="27"/>
    </row>
    <row r="844">
      <c r="C844" s="9"/>
      <c r="D844" s="9"/>
      <c r="P844" s="9"/>
      <c r="Q844" s="27"/>
      <c r="R844" s="27"/>
      <c r="S844" s="27"/>
    </row>
    <row r="845">
      <c r="C845" s="9"/>
      <c r="D845" s="9"/>
      <c r="P845" s="9"/>
      <c r="Q845" s="27"/>
      <c r="R845" s="27"/>
      <c r="S845" s="27"/>
    </row>
    <row r="846">
      <c r="C846" s="9"/>
      <c r="D846" s="9"/>
      <c r="P846" s="9"/>
      <c r="Q846" s="27"/>
      <c r="R846" s="27"/>
      <c r="S846" s="27"/>
    </row>
    <row r="847">
      <c r="C847" s="9"/>
      <c r="D847" s="9"/>
      <c r="P847" s="9"/>
      <c r="Q847" s="27"/>
      <c r="R847" s="27"/>
      <c r="S847" s="27"/>
    </row>
    <row r="848">
      <c r="C848" s="9"/>
      <c r="D848" s="9"/>
      <c r="P848" s="9"/>
      <c r="Q848" s="27"/>
      <c r="R848" s="27"/>
      <c r="S848" s="27"/>
    </row>
    <row r="849">
      <c r="C849" s="9"/>
      <c r="D849" s="9"/>
      <c r="P849" s="9"/>
      <c r="Q849" s="27"/>
      <c r="R849" s="27"/>
      <c r="S849" s="27"/>
    </row>
    <row r="850">
      <c r="C850" s="9"/>
      <c r="D850" s="9"/>
      <c r="P850" s="9"/>
      <c r="Q850" s="27"/>
      <c r="R850" s="27"/>
      <c r="S850" s="27"/>
    </row>
    <row r="851">
      <c r="C851" s="9"/>
      <c r="D851" s="9"/>
      <c r="P851" s="9"/>
      <c r="Q851" s="27"/>
      <c r="R851" s="27"/>
      <c r="S851" s="27"/>
    </row>
    <row r="852">
      <c r="C852" s="9"/>
      <c r="D852" s="9"/>
      <c r="P852" s="9"/>
      <c r="Q852" s="27"/>
      <c r="R852" s="27"/>
      <c r="S852" s="27"/>
    </row>
    <row r="853">
      <c r="C853" s="9"/>
      <c r="D853" s="9"/>
      <c r="P853" s="9"/>
      <c r="Q853" s="27"/>
      <c r="R853" s="27"/>
      <c r="S853" s="27"/>
    </row>
    <row r="854">
      <c r="C854" s="9"/>
      <c r="D854" s="9"/>
      <c r="P854" s="9"/>
      <c r="Q854" s="27"/>
      <c r="R854" s="27"/>
      <c r="S854" s="27"/>
    </row>
    <row r="855">
      <c r="C855" s="9"/>
      <c r="D855" s="9"/>
      <c r="P855" s="9"/>
      <c r="Q855" s="27"/>
      <c r="R855" s="27"/>
      <c r="S855" s="27"/>
    </row>
    <row r="856">
      <c r="C856" s="9"/>
      <c r="D856" s="9"/>
      <c r="P856" s="9"/>
      <c r="Q856" s="27"/>
      <c r="R856" s="27"/>
      <c r="S856" s="27"/>
    </row>
    <row r="857">
      <c r="C857" s="9"/>
      <c r="D857" s="9"/>
      <c r="P857" s="9"/>
      <c r="Q857" s="27"/>
      <c r="R857" s="27"/>
      <c r="S857" s="27"/>
    </row>
    <row r="858">
      <c r="C858" s="9"/>
      <c r="D858" s="9"/>
      <c r="P858" s="9"/>
      <c r="Q858" s="27"/>
      <c r="R858" s="27"/>
      <c r="S858" s="27"/>
    </row>
    <row r="859">
      <c r="C859" s="9"/>
      <c r="D859" s="9"/>
      <c r="P859" s="9"/>
      <c r="Q859" s="27"/>
      <c r="R859" s="27"/>
      <c r="S859" s="27"/>
    </row>
    <row r="860">
      <c r="C860" s="9"/>
      <c r="D860" s="9"/>
      <c r="P860" s="9"/>
      <c r="Q860" s="27"/>
      <c r="R860" s="27"/>
      <c r="S860" s="27"/>
    </row>
    <row r="861">
      <c r="C861" s="9"/>
      <c r="D861" s="9"/>
      <c r="P861" s="9"/>
      <c r="Q861" s="27"/>
      <c r="R861" s="27"/>
      <c r="S861" s="27"/>
    </row>
    <row r="862">
      <c r="C862" s="9"/>
      <c r="D862" s="9"/>
      <c r="P862" s="9"/>
      <c r="Q862" s="27"/>
      <c r="R862" s="27"/>
      <c r="S862" s="27"/>
    </row>
    <row r="863">
      <c r="C863" s="9"/>
      <c r="D863" s="9"/>
      <c r="P863" s="9"/>
      <c r="Q863" s="27"/>
      <c r="R863" s="27"/>
      <c r="S863" s="27"/>
    </row>
    <row r="864">
      <c r="C864" s="9"/>
      <c r="D864" s="9"/>
      <c r="P864" s="9"/>
      <c r="Q864" s="27"/>
      <c r="R864" s="27"/>
      <c r="S864" s="27"/>
    </row>
    <row r="865">
      <c r="C865" s="9"/>
      <c r="D865" s="9"/>
      <c r="P865" s="9"/>
      <c r="Q865" s="27"/>
      <c r="R865" s="27"/>
      <c r="S865" s="27"/>
    </row>
    <row r="866">
      <c r="C866" s="9"/>
      <c r="D866" s="9"/>
      <c r="P866" s="9"/>
      <c r="Q866" s="27"/>
      <c r="R866" s="27"/>
      <c r="S866" s="27"/>
    </row>
    <row r="867">
      <c r="C867" s="9"/>
      <c r="D867" s="9"/>
      <c r="P867" s="9"/>
      <c r="Q867" s="27"/>
      <c r="R867" s="27"/>
      <c r="S867" s="27"/>
    </row>
    <row r="868">
      <c r="C868" s="9"/>
      <c r="D868" s="9"/>
      <c r="P868" s="9"/>
      <c r="Q868" s="27"/>
      <c r="R868" s="27"/>
      <c r="S868" s="27"/>
    </row>
    <row r="869">
      <c r="C869" s="9"/>
      <c r="D869" s="9"/>
      <c r="P869" s="9"/>
      <c r="Q869" s="27"/>
      <c r="R869" s="27"/>
      <c r="S869" s="27"/>
    </row>
    <row r="870">
      <c r="C870" s="9"/>
      <c r="D870" s="9"/>
      <c r="P870" s="9"/>
      <c r="Q870" s="27"/>
      <c r="R870" s="27"/>
      <c r="S870" s="27"/>
    </row>
    <row r="871">
      <c r="C871" s="9"/>
      <c r="D871" s="9"/>
      <c r="P871" s="9"/>
      <c r="Q871" s="27"/>
      <c r="R871" s="27"/>
      <c r="S871" s="27"/>
    </row>
    <row r="872">
      <c r="C872" s="9"/>
      <c r="D872" s="9"/>
      <c r="P872" s="9"/>
      <c r="Q872" s="27"/>
      <c r="R872" s="27"/>
      <c r="S872" s="27"/>
    </row>
    <row r="873">
      <c r="C873" s="9"/>
      <c r="D873" s="9"/>
      <c r="P873" s="9"/>
      <c r="Q873" s="27"/>
      <c r="R873" s="27"/>
      <c r="S873" s="27"/>
    </row>
    <row r="874">
      <c r="C874" s="9"/>
      <c r="D874" s="9"/>
      <c r="P874" s="9"/>
      <c r="Q874" s="27"/>
      <c r="R874" s="27"/>
      <c r="S874" s="27"/>
    </row>
    <row r="875">
      <c r="C875" s="9"/>
      <c r="D875" s="9"/>
      <c r="P875" s="9"/>
      <c r="Q875" s="27"/>
      <c r="R875" s="27"/>
      <c r="S875" s="27"/>
    </row>
    <row r="876">
      <c r="C876" s="9"/>
      <c r="D876" s="9"/>
      <c r="P876" s="9"/>
      <c r="Q876" s="27"/>
      <c r="R876" s="27"/>
      <c r="S876" s="27"/>
    </row>
    <row r="877">
      <c r="C877" s="9"/>
      <c r="D877" s="9"/>
      <c r="P877" s="9"/>
      <c r="Q877" s="27"/>
      <c r="R877" s="27"/>
      <c r="S877" s="27"/>
    </row>
    <row r="878">
      <c r="C878" s="9"/>
      <c r="D878" s="9"/>
      <c r="P878" s="9"/>
      <c r="Q878" s="27"/>
      <c r="R878" s="27"/>
      <c r="S878" s="27"/>
    </row>
    <row r="879">
      <c r="C879" s="9"/>
      <c r="D879" s="9"/>
      <c r="P879" s="9"/>
      <c r="Q879" s="27"/>
      <c r="R879" s="27"/>
      <c r="S879" s="27"/>
    </row>
    <row r="880">
      <c r="C880" s="9"/>
      <c r="D880" s="9"/>
      <c r="P880" s="9"/>
      <c r="Q880" s="27"/>
      <c r="R880" s="27"/>
      <c r="S880" s="27"/>
    </row>
    <row r="881">
      <c r="C881" s="9"/>
      <c r="D881" s="9"/>
      <c r="P881" s="9"/>
      <c r="Q881" s="27"/>
      <c r="R881" s="27"/>
      <c r="S881" s="27"/>
    </row>
    <row r="882">
      <c r="C882" s="9"/>
      <c r="D882" s="9"/>
      <c r="P882" s="9"/>
      <c r="Q882" s="27"/>
      <c r="R882" s="27"/>
      <c r="S882" s="27"/>
    </row>
    <row r="883">
      <c r="C883" s="9"/>
      <c r="D883" s="9"/>
      <c r="P883" s="9"/>
      <c r="Q883" s="27"/>
      <c r="R883" s="27"/>
      <c r="S883" s="27"/>
    </row>
    <row r="884">
      <c r="C884" s="9"/>
      <c r="D884" s="9"/>
      <c r="P884" s="9"/>
      <c r="Q884" s="27"/>
      <c r="R884" s="27"/>
      <c r="S884" s="27"/>
    </row>
    <row r="885">
      <c r="C885" s="9"/>
      <c r="D885" s="9"/>
      <c r="P885" s="9"/>
      <c r="Q885" s="27"/>
      <c r="R885" s="27"/>
      <c r="S885" s="27"/>
    </row>
    <row r="886">
      <c r="C886" s="9"/>
      <c r="D886" s="9"/>
      <c r="P886" s="9"/>
      <c r="Q886" s="27"/>
      <c r="R886" s="27"/>
      <c r="S886" s="27"/>
    </row>
    <row r="887">
      <c r="C887" s="9"/>
      <c r="D887" s="9"/>
      <c r="P887" s="9"/>
      <c r="Q887" s="27"/>
      <c r="R887" s="27"/>
      <c r="S887" s="27"/>
    </row>
    <row r="888">
      <c r="C888" s="9"/>
      <c r="D888" s="9"/>
      <c r="P888" s="9"/>
      <c r="Q888" s="27"/>
      <c r="R888" s="27"/>
      <c r="S888" s="27"/>
    </row>
    <row r="889">
      <c r="C889" s="9"/>
      <c r="D889" s="9"/>
      <c r="P889" s="9"/>
      <c r="Q889" s="27"/>
      <c r="R889" s="27"/>
      <c r="S889" s="27"/>
    </row>
    <row r="890">
      <c r="C890" s="9"/>
      <c r="D890" s="9"/>
      <c r="P890" s="9"/>
      <c r="Q890" s="27"/>
      <c r="R890" s="27"/>
      <c r="S890" s="27"/>
    </row>
    <row r="891">
      <c r="C891" s="9"/>
      <c r="D891" s="9"/>
      <c r="P891" s="9"/>
      <c r="Q891" s="27"/>
      <c r="R891" s="27"/>
      <c r="S891" s="27"/>
    </row>
    <row r="892">
      <c r="C892" s="9"/>
      <c r="D892" s="9"/>
      <c r="P892" s="9"/>
      <c r="Q892" s="27"/>
      <c r="R892" s="27"/>
      <c r="S892" s="27"/>
    </row>
    <row r="893">
      <c r="C893" s="9"/>
      <c r="D893" s="9"/>
      <c r="P893" s="9"/>
      <c r="Q893" s="27"/>
      <c r="R893" s="27"/>
      <c r="S893" s="27"/>
    </row>
    <row r="894">
      <c r="C894" s="9"/>
      <c r="D894" s="9"/>
      <c r="P894" s="9"/>
      <c r="Q894" s="27"/>
      <c r="R894" s="27"/>
      <c r="S894" s="27"/>
    </row>
    <row r="895">
      <c r="C895" s="9"/>
      <c r="D895" s="9"/>
      <c r="P895" s="9"/>
      <c r="Q895" s="27"/>
      <c r="R895" s="27"/>
      <c r="S895" s="27"/>
    </row>
    <row r="896">
      <c r="C896" s="9"/>
      <c r="D896" s="9"/>
      <c r="P896" s="9"/>
      <c r="Q896" s="27"/>
      <c r="R896" s="27"/>
      <c r="S896" s="27"/>
    </row>
    <row r="897">
      <c r="C897" s="9"/>
      <c r="D897" s="9"/>
      <c r="P897" s="9"/>
      <c r="Q897" s="27"/>
      <c r="R897" s="27"/>
      <c r="S897" s="27"/>
    </row>
    <row r="898">
      <c r="C898" s="9"/>
      <c r="D898" s="9"/>
      <c r="P898" s="9"/>
      <c r="Q898" s="27"/>
      <c r="R898" s="27"/>
      <c r="S898" s="27"/>
    </row>
    <row r="899">
      <c r="C899" s="9"/>
      <c r="D899" s="9"/>
      <c r="P899" s="9"/>
      <c r="Q899" s="27"/>
      <c r="R899" s="27"/>
      <c r="S899" s="27"/>
    </row>
    <row r="900">
      <c r="C900" s="9"/>
      <c r="D900" s="9"/>
      <c r="P900" s="9"/>
      <c r="Q900" s="27"/>
      <c r="R900" s="27"/>
      <c r="S900" s="27"/>
    </row>
    <row r="901">
      <c r="C901" s="9"/>
      <c r="D901" s="9"/>
      <c r="P901" s="9"/>
      <c r="Q901" s="27"/>
      <c r="R901" s="27"/>
      <c r="S901" s="27"/>
    </row>
    <row r="902">
      <c r="C902" s="9"/>
      <c r="D902" s="9"/>
      <c r="P902" s="9"/>
      <c r="Q902" s="27"/>
      <c r="R902" s="27"/>
      <c r="S902" s="27"/>
    </row>
    <row r="903">
      <c r="C903" s="9"/>
      <c r="D903" s="9"/>
      <c r="P903" s="9"/>
      <c r="Q903" s="27"/>
      <c r="R903" s="27"/>
      <c r="S903" s="27"/>
    </row>
    <row r="904">
      <c r="C904" s="9"/>
      <c r="D904" s="9"/>
      <c r="P904" s="9"/>
      <c r="Q904" s="27"/>
      <c r="R904" s="27"/>
      <c r="S904" s="27"/>
    </row>
    <row r="905">
      <c r="C905" s="9"/>
      <c r="D905" s="9"/>
      <c r="P905" s="9"/>
      <c r="Q905" s="27"/>
      <c r="R905" s="27"/>
      <c r="S905" s="27"/>
    </row>
    <row r="906">
      <c r="C906" s="9"/>
      <c r="D906" s="9"/>
      <c r="P906" s="9"/>
      <c r="Q906" s="27"/>
      <c r="R906" s="27"/>
      <c r="S906" s="27"/>
    </row>
    <row r="907">
      <c r="C907" s="9"/>
      <c r="D907" s="9"/>
      <c r="P907" s="9"/>
      <c r="Q907" s="27"/>
      <c r="R907" s="27"/>
      <c r="S907" s="27"/>
    </row>
    <row r="908">
      <c r="C908" s="9"/>
      <c r="D908" s="9"/>
      <c r="P908" s="9"/>
      <c r="Q908" s="27"/>
      <c r="R908" s="27"/>
      <c r="S908" s="27"/>
    </row>
    <row r="909">
      <c r="C909" s="9"/>
      <c r="D909" s="9"/>
      <c r="P909" s="9"/>
      <c r="Q909" s="27"/>
      <c r="R909" s="27"/>
      <c r="S909" s="27"/>
    </row>
    <row r="910">
      <c r="C910" s="9"/>
      <c r="D910" s="9"/>
      <c r="P910" s="9"/>
      <c r="Q910" s="27"/>
      <c r="R910" s="27"/>
      <c r="S910" s="27"/>
    </row>
    <row r="911">
      <c r="C911" s="9"/>
      <c r="D911" s="9"/>
      <c r="P911" s="9"/>
      <c r="Q911" s="27"/>
      <c r="R911" s="27"/>
      <c r="S911" s="27"/>
    </row>
    <row r="912">
      <c r="C912" s="9"/>
      <c r="D912" s="9"/>
      <c r="P912" s="9"/>
      <c r="Q912" s="27"/>
      <c r="R912" s="27"/>
      <c r="S912" s="27"/>
    </row>
    <row r="913">
      <c r="C913" s="9"/>
      <c r="D913" s="9"/>
      <c r="P913" s="9"/>
      <c r="Q913" s="27"/>
      <c r="R913" s="27"/>
      <c r="S913" s="27"/>
    </row>
    <row r="914">
      <c r="C914" s="9"/>
      <c r="D914" s="9"/>
      <c r="P914" s="9"/>
      <c r="Q914" s="27"/>
      <c r="R914" s="27"/>
      <c r="S914" s="27"/>
    </row>
    <row r="915">
      <c r="C915" s="9"/>
      <c r="D915" s="9"/>
      <c r="P915" s="9"/>
      <c r="Q915" s="27"/>
      <c r="R915" s="27"/>
      <c r="S915" s="27"/>
    </row>
    <row r="916">
      <c r="C916" s="9"/>
      <c r="D916" s="9"/>
      <c r="P916" s="9"/>
      <c r="Q916" s="27"/>
      <c r="R916" s="27"/>
      <c r="S916" s="27"/>
    </row>
    <row r="917">
      <c r="C917" s="9"/>
      <c r="D917" s="9"/>
      <c r="P917" s="9"/>
      <c r="Q917" s="27"/>
      <c r="R917" s="27"/>
      <c r="S917" s="27"/>
    </row>
    <row r="918">
      <c r="C918" s="9"/>
      <c r="D918" s="9"/>
      <c r="P918" s="9"/>
      <c r="Q918" s="27"/>
      <c r="R918" s="27"/>
      <c r="S918" s="27"/>
    </row>
    <row r="919">
      <c r="C919" s="9"/>
      <c r="D919" s="9"/>
      <c r="P919" s="9"/>
      <c r="Q919" s="27"/>
      <c r="R919" s="27"/>
      <c r="S919" s="27"/>
    </row>
    <row r="920">
      <c r="C920" s="9"/>
      <c r="D920" s="9"/>
      <c r="P920" s="9"/>
      <c r="Q920" s="27"/>
      <c r="R920" s="27"/>
      <c r="S920" s="27"/>
    </row>
    <row r="921">
      <c r="C921" s="9"/>
      <c r="D921" s="9"/>
      <c r="P921" s="9"/>
      <c r="Q921" s="27"/>
      <c r="R921" s="27"/>
      <c r="S921" s="27"/>
    </row>
    <row r="922">
      <c r="C922" s="9"/>
      <c r="D922" s="9"/>
      <c r="P922" s="9"/>
      <c r="Q922" s="27"/>
      <c r="R922" s="27"/>
      <c r="S922" s="27"/>
    </row>
    <row r="923">
      <c r="C923" s="9"/>
      <c r="D923" s="9"/>
      <c r="P923" s="9"/>
      <c r="Q923" s="27"/>
      <c r="R923" s="27"/>
      <c r="S923" s="27"/>
    </row>
    <row r="924">
      <c r="C924" s="9"/>
      <c r="D924" s="9"/>
      <c r="P924" s="9"/>
      <c r="Q924" s="27"/>
      <c r="R924" s="27"/>
      <c r="S924" s="27"/>
    </row>
    <row r="925">
      <c r="C925" s="9"/>
      <c r="D925" s="9"/>
      <c r="P925" s="9"/>
      <c r="Q925" s="27"/>
      <c r="R925" s="27"/>
      <c r="S925" s="27"/>
    </row>
    <row r="926">
      <c r="C926" s="9"/>
      <c r="D926" s="9"/>
      <c r="P926" s="9"/>
      <c r="Q926" s="27"/>
      <c r="R926" s="27"/>
      <c r="S926" s="27"/>
    </row>
    <row r="927">
      <c r="C927" s="9"/>
      <c r="D927" s="9"/>
      <c r="P927" s="9"/>
      <c r="Q927" s="27"/>
      <c r="R927" s="27"/>
      <c r="S927" s="27"/>
    </row>
    <row r="928">
      <c r="C928" s="9"/>
      <c r="D928" s="9"/>
      <c r="P928" s="9"/>
      <c r="Q928" s="27"/>
      <c r="R928" s="27"/>
      <c r="S928" s="27"/>
    </row>
    <row r="929">
      <c r="C929" s="9"/>
      <c r="D929" s="9"/>
      <c r="P929" s="9"/>
      <c r="Q929" s="27"/>
      <c r="R929" s="27"/>
      <c r="S929" s="27"/>
    </row>
    <row r="930">
      <c r="C930" s="9"/>
      <c r="D930" s="9"/>
      <c r="P930" s="9"/>
      <c r="Q930" s="27"/>
      <c r="R930" s="27"/>
      <c r="S930" s="27"/>
    </row>
    <row r="931">
      <c r="C931" s="9"/>
      <c r="D931" s="9"/>
      <c r="P931" s="9"/>
      <c r="Q931" s="27"/>
      <c r="R931" s="27"/>
      <c r="S931" s="27"/>
    </row>
    <row r="932">
      <c r="C932" s="9"/>
      <c r="D932" s="9"/>
      <c r="P932" s="9"/>
      <c r="Q932" s="27"/>
      <c r="R932" s="27"/>
      <c r="S932" s="27"/>
    </row>
    <row r="933">
      <c r="C933" s="9"/>
      <c r="D933" s="9"/>
      <c r="P933" s="9"/>
      <c r="Q933" s="27"/>
      <c r="R933" s="27"/>
      <c r="S933" s="27"/>
    </row>
    <row r="934">
      <c r="C934" s="9"/>
      <c r="D934" s="9"/>
      <c r="P934" s="9"/>
      <c r="Q934" s="27"/>
      <c r="R934" s="27"/>
      <c r="S934" s="27"/>
    </row>
    <row r="935">
      <c r="C935" s="9"/>
      <c r="D935" s="9"/>
      <c r="P935" s="9"/>
      <c r="Q935" s="27"/>
      <c r="R935" s="27"/>
      <c r="S935" s="27"/>
    </row>
    <row r="936">
      <c r="C936" s="9"/>
      <c r="D936" s="9"/>
      <c r="P936" s="9"/>
      <c r="Q936" s="27"/>
      <c r="R936" s="27"/>
      <c r="S936" s="27"/>
    </row>
    <row r="937">
      <c r="C937" s="9"/>
      <c r="D937" s="9"/>
      <c r="P937" s="9"/>
      <c r="Q937" s="27"/>
      <c r="R937" s="27"/>
      <c r="S937" s="27"/>
    </row>
    <row r="938">
      <c r="C938" s="9"/>
      <c r="D938" s="9"/>
      <c r="P938" s="9"/>
      <c r="Q938" s="27"/>
      <c r="R938" s="27"/>
      <c r="S938" s="27"/>
    </row>
    <row r="939">
      <c r="C939" s="9"/>
      <c r="D939" s="9"/>
      <c r="P939" s="9"/>
      <c r="Q939" s="27"/>
      <c r="R939" s="27"/>
      <c r="S939" s="27"/>
    </row>
    <row r="940">
      <c r="C940" s="9"/>
      <c r="D940" s="9"/>
      <c r="P940" s="9"/>
      <c r="Q940" s="27"/>
      <c r="R940" s="27"/>
      <c r="S940" s="27"/>
    </row>
    <row r="941">
      <c r="C941" s="9"/>
      <c r="D941" s="9"/>
      <c r="P941" s="9"/>
      <c r="Q941" s="27"/>
      <c r="R941" s="27"/>
      <c r="S941" s="27"/>
    </row>
    <row r="942">
      <c r="C942" s="9"/>
      <c r="D942" s="9"/>
      <c r="P942" s="9"/>
      <c r="Q942" s="27"/>
      <c r="R942" s="27"/>
      <c r="S942" s="27"/>
    </row>
    <row r="943">
      <c r="C943" s="9"/>
      <c r="D943" s="9"/>
      <c r="P943" s="9"/>
      <c r="Q943" s="27"/>
      <c r="R943" s="27"/>
      <c r="S943" s="27"/>
    </row>
    <row r="944">
      <c r="C944" s="9"/>
      <c r="D944" s="9"/>
      <c r="P944" s="9"/>
      <c r="Q944" s="27"/>
      <c r="R944" s="27"/>
      <c r="S944" s="27"/>
    </row>
    <row r="945">
      <c r="C945" s="9"/>
      <c r="D945" s="9"/>
      <c r="P945" s="9"/>
      <c r="Q945" s="27"/>
      <c r="R945" s="27"/>
      <c r="S945" s="27"/>
    </row>
    <row r="946">
      <c r="C946" s="9"/>
      <c r="D946" s="9"/>
      <c r="P946" s="9"/>
      <c r="Q946" s="27"/>
      <c r="R946" s="27"/>
      <c r="S946" s="27"/>
    </row>
    <row r="947">
      <c r="C947" s="9"/>
      <c r="D947" s="9"/>
      <c r="P947" s="9"/>
      <c r="Q947" s="27"/>
      <c r="R947" s="27"/>
      <c r="S947" s="27"/>
    </row>
    <row r="948">
      <c r="C948" s="9"/>
      <c r="D948" s="9"/>
      <c r="P948" s="9"/>
      <c r="Q948" s="27"/>
      <c r="R948" s="27"/>
      <c r="S948" s="27"/>
    </row>
    <row r="949">
      <c r="C949" s="9"/>
      <c r="D949" s="9"/>
      <c r="P949" s="9"/>
      <c r="Q949" s="27"/>
      <c r="R949" s="27"/>
      <c r="S949" s="27"/>
    </row>
    <row r="950">
      <c r="C950" s="9"/>
      <c r="D950" s="9"/>
      <c r="P950" s="9"/>
      <c r="Q950" s="27"/>
      <c r="R950" s="27"/>
      <c r="S950" s="27"/>
    </row>
    <row r="951">
      <c r="C951" s="9"/>
      <c r="D951" s="9"/>
      <c r="P951" s="9"/>
      <c r="Q951" s="27"/>
      <c r="R951" s="27"/>
      <c r="S951" s="27"/>
    </row>
    <row r="952">
      <c r="C952" s="9"/>
      <c r="D952" s="9"/>
      <c r="P952" s="9"/>
      <c r="Q952" s="27"/>
      <c r="R952" s="27"/>
      <c r="S952" s="27"/>
    </row>
    <row r="953">
      <c r="C953" s="9"/>
      <c r="D953" s="9"/>
      <c r="P953" s="9"/>
      <c r="Q953" s="27"/>
      <c r="R953" s="27"/>
      <c r="S953" s="27"/>
    </row>
    <row r="954">
      <c r="C954" s="9"/>
      <c r="D954" s="9"/>
      <c r="P954" s="9"/>
      <c r="Q954" s="27"/>
      <c r="R954" s="27"/>
      <c r="S954" s="27"/>
    </row>
    <row r="955">
      <c r="C955" s="9"/>
      <c r="D955" s="9"/>
      <c r="P955" s="9"/>
      <c r="Q955" s="27"/>
      <c r="R955" s="27"/>
      <c r="S955" s="27"/>
    </row>
    <row r="956">
      <c r="C956" s="9"/>
      <c r="D956" s="9"/>
      <c r="P956" s="9"/>
      <c r="Q956" s="27"/>
      <c r="R956" s="27"/>
      <c r="S956" s="27"/>
    </row>
    <row r="957">
      <c r="C957" s="9"/>
      <c r="D957" s="9"/>
      <c r="P957" s="9"/>
      <c r="Q957" s="27"/>
      <c r="R957" s="27"/>
      <c r="S957" s="27"/>
    </row>
    <row r="958">
      <c r="C958" s="9"/>
      <c r="D958" s="9"/>
      <c r="P958" s="9"/>
      <c r="Q958" s="27"/>
      <c r="R958" s="27"/>
      <c r="S958" s="27"/>
    </row>
    <row r="959">
      <c r="C959" s="9"/>
      <c r="D959" s="9"/>
      <c r="P959" s="9"/>
      <c r="Q959" s="27"/>
      <c r="R959" s="27"/>
      <c r="S959" s="27"/>
    </row>
    <row r="960">
      <c r="C960" s="9"/>
      <c r="D960" s="9"/>
      <c r="P960" s="9"/>
      <c r="Q960" s="27"/>
      <c r="R960" s="27"/>
      <c r="S960" s="27"/>
    </row>
    <row r="961">
      <c r="C961" s="9"/>
      <c r="D961" s="9"/>
      <c r="P961" s="9"/>
      <c r="Q961" s="27"/>
      <c r="R961" s="27"/>
      <c r="S961" s="27"/>
    </row>
    <row r="962">
      <c r="C962" s="9"/>
      <c r="D962" s="9"/>
      <c r="P962" s="9"/>
      <c r="Q962" s="27"/>
      <c r="R962" s="27"/>
      <c r="S962" s="27"/>
    </row>
    <row r="963">
      <c r="C963" s="9"/>
      <c r="D963" s="9"/>
      <c r="P963" s="9"/>
      <c r="Q963" s="27"/>
      <c r="R963" s="27"/>
      <c r="S963" s="27"/>
    </row>
    <row r="964">
      <c r="C964" s="9"/>
      <c r="D964" s="9"/>
      <c r="P964" s="9"/>
      <c r="Q964" s="27"/>
      <c r="R964" s="27"/>
      <c r="S964" s="27"/>
    </row>
    <row r="965">
      <c r="C965" s="9"/>
      <c r="D965" s="9"/>
      <c r="P965" s="9"/>
      <c r="Q965" s="27"/>
      <c r="R965" s="27"/>
      <c r="S965" s="27"/>
    </row>
    <row r="966">
      <c r="C966" s="9"/>
      <c r="D966" s="9"/>
      <c r="P966" s="9"/>
      <c r="Q966" s="27"/>
      <c r="R966" s="27"/>
      <c r="S966" s="27"/>
    </row>
    <row r="967">
      <c r="C967" s="9"/>
      <c r="D967" s="9"/>
      <c r="P967" s="9"/>
      <c r="Q967" s="27"/>
      <c r="R967" s="27"/>
      <c r="S967" s="27"/>
    </row>
    <row r="968">
      <c r="C968" s="9"/>
      <c r="D968" s="9"/>
      <c r="P968" s="9"/>
      <c r="Q968" s="27"/>
      <c r="R968" s="27"/>
      <c r="S968" s="27"/>
    </row>
    <row r="969">
      <c r="C969" s="9"/>
      <c r="D969" s="9"/>
      <c r="P969" s="9"/>
      <c r="Q969" s="27"/>
      <c r="R969" s="27"/>
      <c r="S969" s="27"/>
    </row>
    <row r="970">
      <c r="C970" s="9"/>
      <c r="D970" s="9"/>
      <c r="P970" s="9"/>
      <c r="Q970" s="27"/>
      <c r="R970" s="27"/>
      <c r="S970" s="27"/>
    </row>
    <row r="971">
      <c r="C971" s="9"/>
      <c r="D971" s="9"/>
      <c r="P971" s="9"/>
      <c r="Q971" s="27"/>
      <c r="R971" s="27"/>
      <c r="S971" s="27"/>
    </row>
    <row r="972">
      <c r="C972" s="9"/>
      <c r="D972" s="9"/>
      <c r="P972" s="9"/>
      <c r="Q972" s="27"/>
      <c r="R972" s="27"/>
      <c r="S972" s="27"/>
    </row>
    <row r="973">
      <c r="C973" s="9"/>
      <c r="D973" s="9"/>
      <c r="P973" s="9"/>
      <c r="Q973" s="27"/>
      <c r="R973" s="27"/>
      <c r="S973" s="27"/>
    </row>
    <row r="974">
      <c r="C974" s="9"/>
      <c r="D974" s="9"/>
      <c r="P974" s="9"/>
      <c r="Q974" s="27"/>
      <c r="R974" s="27"/>
      <c r="S974" s="27"/>
    </row>
    <row r="975">
      <c r="C975" s="9"/>
      <c r="D975" s="9"/>
      <c r="P975" s="9"/>
      <c r="Q975" s="27"/>
      <c r="R975" s="27"/>
      <c r="S975" s="27"/>
    </row>
    <row r="976">
      <c r="C976" s="9"/>
      <c r="D976" s="9"/>
      <c r="P976" s="9"/>
      <c r="Q976" s="27"/>
      <c r="R976" s="27"/>
      <c r="S976" s="27"/>
    </row>
    <row r="977">
      <c r="C977" s="9"/>
      <c r="D977" s="9"/>
      <c r="P977" s="9"/>
      <c r="Q977" s="27"/>
      <c r="R977" s="27"/>
      <c r="S977" s="27"/>
    </row>
    <row r="978">
      <c r="C978" s="9"/>
      <c r="D978" s="9"/>
      <c r="P978" s="9"/>
      <c r="Q978" s="27"/>
      <c r="R978" s="27"/>
      <c r="S978" s="27"/>
    </row>
    <row r="979">
      <c r="C979" s="9"/>
      <c r="D979" s="9"/>
      <c r="P979" s="9"/>
      <c r="Q979" s="27"/>
      <c r="R979" s="27"/>
      <c r="S979" s="27"/>
    </row>
    <row r="980">
      <c r="C980" s="9"/>
      <c r="D980" s="9"/>
      <c r="P980" s="9"/>
      <c r="Q980" s="27"/>
      <c r="R980" s="27"/>
      <c r="S980" s="27"/>
    </row>
    <row r="981">
      <c r="C981" s="9"/>
      <c r="D981" s="9"/>
      <c r="P981" s="9"/>
      <c r="Q981" s="27"/>
      <c r="R981" s="27"/>
      <c r="S981" s="27"/>
    </row>
    <row r="982">
      <c r="C982" s="9"/>
      <c r="D982" s="9"/>
      <c r="P982" s="9"/>
      <c r="Q982" s="27"/>
      <c r="R982" s="27"/>
      <c r="S982" s="27"/>
    </row>
    <row r="983">
      <c r="C983" s="9"/>
      <c r="D983" s="9"/>
      <c r="P983" s="9"/>
      <c r="Q983" s="27"/>
      <c r="R983" s="27"/>
      <c r="S983" s="27"/>
    </row>
    <row r="984">
      <c r="C984" s="9"/>
      <c r="D984" s="9"/>
      <c r="P984" s="9"/>
      <c r="Q984" s="27"/>
      <c r="R984" s="27"/>
      <c r="S984" s="27"/>
    </row>
    <row r="985">
      <c r="C985" s="9"/>
      <c r="D985" s="9"/>
      <c r="P985" s="9"/>
      <c r="Q985" s="27"/>
      <c r="R985" s="27"/>
      <c r="S985" s="27"/>
    </row>
    <row r="986">
      <c r="C986" s="9"/>
      <c r="D986" s="9"/>
      <c r="P986" s="9"/>
      <c r="Q986" s="27"/>
      <c r="R986" s="27"/>
      <c r="S986" s="27"/>
    </row>
  </sheetData>
  <customSheetViews>
    <customSheetView guid="{23C0B1AE-50D1-49A0-9CD6-C40FE3E1B341}" filter="1" showAutoFilter="1">
      <autoFilter ref="$A$4:$S$73">
        <filterColumn colId="8">
          <customFilters>
            <customFilter val="*未着手*"/>
          </customFilters>
        </filterColumn>
        <filterColumn colId="18">
          <filters>
            <filter val="TRUE"/>
          </filters>
        </filterColumn>
      </autoFilter>
    </customSheetView>
    <customSheetView guid="{A41C9B87-4ABC-4BCD-9C74-2AC9961CBDB2}" filter="1" showAutoFilter="1">
      <autoFilter ref="$A$4:$S$73">
        <filterColumn colId="4">
          <filters>
            <filter val="Dev1、Dev3"/>
            <filter val="内訳"/>
            <filter val="トシ"/>
            <filter val="Dev3"/>
          </filters>
        </filterColumn>
        <filterColumn colId="8">
          <filters blank="1">
            <filter val="調査中"/>
            <filter val="不要"/>
          </filters>
        </filterColumn>
      </autoFilter>
    </customSheetView>
    <customSheetView guid="{F4236DB6-EF65-4DF4-9417-3680F488022F}" filter="1" showAutoFilter="1">
      <autoFilter ref="$A$4:$S$73">
        <filterColumn colId="4">
          <filters blank="1">
            <filter val="Dev1、Dev3"/>
            <filter val="内訳"/>
            <filter val="トシ"/>
            <filter val="Dev3"/>
          </filters>
        </filterColumn>
        <filterColumn colId="8">
          <customFilters>
            <customFilter val="*未着手*"/>
          </customFilters>
        </filterColumn>
      </autoFilter>
    </customSheetView>
    <customSheetView guid="{5354FC22-1C12-4E76-A795-E0A2759A6A3B}" filter="1" showAutoFilter="1">
      <autoFilter ref="$A$4:$S$73">
        <filterColumn colId="8">
          <filters blank="1">
            <filter val="調査中"/>
            <filter val="不要"/>
          </filters>
        </filterColumn>
        <filterColumn colId="12">
          <filters>
            <filter val="2026/02/27"/>
            <filter val="2026/04/17"/>
          </filters>
        </filterColumn>
      </autoFilter>
    </customSheetView>
    <customSheetView guid="{CD5E3487-C2AC-47B0-ACF3-635721EF3DAD}" filter="1" showAutoFilter="1">
      <autoFilter ref="$A$4:$S$73">
        <filterColumn colId="8">
          <customFilters>
            <customFilter operator="notEqual" val="*完了*"/>
          </customFilters>
        </filterColumn>
        <filterColumn colId="17">
          <filters blank="1">
            <filter val="FALSE"/>
          </filters>
        </filterColumn>
        <filterColumn colId="16">
          <filters>
            <filter val="TRUE"/>
          </filters>
        </filterColumn>
      </autoFilter>
    </customSheetView>
  </customSheetViews>
  <conditionalFormatting sqref="A5:S73">
    <cfRule type="expression" dxfId="6" priority="1">
      <formula>$I5="完了"</formula>
    </cfRule>
  </conditionalFormatting>
  <conditionalFormatting sqref="A5:S73">
    <cfRule type="expression" dxfId="7" priority="2">
      <formula>$I5="確認中"</formula>
    </cfRule>
  </conditionalFormatting>
  <conditionalFormatting sqref="A5:S73">
    <cfRule type="expression" dxfId="6" priority="3">
      <formula>$I5="不要"</formula>
    </cfRule>
  </conditionalFormatting>
  <dataValidations>
    <dataValidation type="list" allowBlank="1" sqref="I5:I73">
      <formula1>"未着手,調査中,着手中,確認中,完了,不要"</formula1>
    </dataValidation>
    <dataValidation type="list" allowBlank="1" sqref="H5:H73">
      <formula1>"未着手,調査中,着手中,確認中,完了,不要"</formula1>
    </dataValidation>
    <dataValidation type="custom" allowBlank="1" showDropDown="1" sqref="K5:L73">
      <formula1>OR(NOT(ISERROR(DATEVALUE(K5))), AND(ISNUMBER(K5), LEFT(CELL("format", K5))="D"))</formula1>
    </dataValidation>
    <dataValidation type="custom" allowBlank="1" showDropDown="1" sqref="M5:N73">
      <formula1>OR(NOT(ISERROR(DATEVALUE(M5))), AND(ISNUMBER(M5), LEFT(CELL("format", M5))="D"))</formula1>
    </dataValidation>
    <dataValidation type="list" allowBlank="1" sqref="J5:J73">
      <formula1>"オンスケ,遅延あり"</formula1>
    </dataValidation>
    <dataValidation allowBlank="1" showDropDown="1" sqref="E5:E73"/>
  </dataValidations>
  <hyperlinks>
    <hyperlink r:id="rId4" location="gid=178398349" ref="C5"/>
    <hyperlink r:id="rId5" ref="G5"/>
    <hyperlink r:id="rId6" location="gid=178398349" ref="P5"/>
    <hyperlink r:id="rId7" ref="G7"/>
    <hyperlink r:id="rId8" ref="G8"/>
    <hyperlink r:id="rId9" ref="G9"/>
    <hyperlink r:id="rId10" ref="G10"/>
    <hyperlink r:id="rId11" ref="G11"/>
    <hyperlink r:id="rId12" location="gid=438056128&amp;range=5:5" ref="P11"/>
    <hyperlink r:id="rId13" location="gid=1770314220" ref="C12"/>
    <hyperlink r:id="rId14" ref="G12"/>
    <hyperlink r:id="rId15" location="gid=1770314220" ref="P12"/>
  </hyperlinks>
  <drawing r:id="rId16"/>
  <legacyDrawing r:id="rId17"/>
  <tableParts count="2">
    <tablePart r:id="rId20"/>
    <tablePart r:id="rId2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2" width="6.88"/>
    <col customWidth="1" min="3" max="3" width="10.5"/>
    <col customWidth="1" min="4" max="5" width="64.63"/>
    <col customWidth="1" min="6" max="6" width="50.75"/>
    <col customWidth="1" min="7" max="7" width="63.75"/>
    <col customWidth="1" min="8" max="8" width="52.0"/>
    <col customWidth="1" min="9" max="25" width="6.88"/>
  </cols>
  <sheetData>
    <row r="1">
      <c r="A1" s="9"/>
      <c r="B1" s="9"/>
      <c r="C1" s="9"/>
      <c r="D1" s="9"/>
      <c r="E1" s="9"/>
      <c r="F1" s="9"/>
      <c r="G1" s="9"/>
      <c r="H1" s="9"/>
      <c r="I1" s="9"/>
      <c r="J1" s="9"/>
      <c r="K1" s="9"/>
      <c r="L1" s="9"/>
      <c r="M1" s="9"/>
      <c r="N1" s="9"/>
      <c r="O1" s="9"/>
      <c r="P1" s="9"/>
      <c r="Q1" s="9"/>
      <c r="R1" s="9"/>
      <c r="S1" s="9"/>
      <c r="T1" s="9"/>
      <c r="U1" s="9"/>
      <c r="V1" s="9"/>
      <c r="W1" s="9"/>
      <c r="X1" s="9"/>
      <c r="Y1" s="9"/>
    </row>
    <row r="2" ht="22.5" customHeight="1">
      <c r="A2" s="9"/>
      <c r="B2" s="10" t="s">
        <v>63</v>
      </c>
      <c r="C2" s="10" t="s">
        <v>354</v>
      </c>
      <c r="D2" s="10" t="s">
        <v>67</v>
      </c>
      <c r="E2" s="10" t="s">
        <v>355</v>
      </c>
      <c r="F2" s="10" t="s">
        <v>69</v>
      </c>
      <c r="G2" s="10" t="s">
        <v>5</v>
      </c>
      <c r="H2" s="110" t="s">
        <v>356</v>
      </c>
      <c r="I2" s="9"/>
      <c r="J2" s="9"/>
      <c r="K2" s="9"/>
      <c r="L2" s="9"/>
      <c r="M2" s="9"/>
      <c r="N2" s="9"/>
      <c r="O2" s="9"/>
      <c r="P2" s="9"/>
      <c r="Q2" s="9"/>
      <c r="R2" s="9"/>
      <c r="S2" s="9"/>
      <c r="T2" s="9"/>
      <c r="U2" s="9"/>
      <c r="V2" s="9"/>
      <c r="W2" s="9"/>
      <c r="X2" s="9"/>
      <c r="Y2" s="9"/>
    </row>
    <row r="3" ht="22.5" customHeight="1">
      <c r="A3" s="9"/>
      <c r="B3" s="11">
        <f t="array" ref="B3:B44">sequence(counta(C3:C1008),1)</f>
        <v>1</v>
      </c>
      <c r="C3" s="13" t="s">
        <v>357</v>
      </c>
      <c r="D3" s="13" t="s">
        <v>358</v>
      </c>
      <c r="E3" s="13" t="s">
        <v>359</v>
      </c>
      <c r="F3" s="13" t="s">
        <v>360</v>
      </c>
      <c r="G3" s="11"/>
      <c r="H3" s="82"/>
      <c r="I3" s="9"/>
      <c r="J3" s="9"/>
      <c r="K3" s="9"/>
      <c r="L3" s="9"/>
      <c r="M3" s="9"/>
      <c r="N3" s="9"/>
      <c r="O3" s="9"/>
      <c r="P3" s="9"/>
      <c r="Q3" s="9"/>
      <c r="R3" s="9"/>
      <c r="S3" s="9"/>
      <c r="T3" s="9"/>
      <c r="U3" s="9"/>
      <c r="V3" s="9"/>
      <c r="W3" s="9"/>
      <c r="X3" s="9"/>
      <c r="Y3" s="9"/>
    </row>
    <row r="4" ht="22.5" customHeight="1">
      <c r="A4" s="9"/>
      <c r="B4" s="11">
        <v>2.0</v>
      </c>
      <c r="C4" s="13" t="s">
        <v>357</v>
      </c>
      <c r="D4" s="13" t="s">
        <v>361</v>
      </c>
      <c r="E4" s="13" t="s">
        <v>362</v>
      </c>
      <c r="F4" s="13" t="s">
        <v>363</v>
      </c>
      <c r="G4" s="11"/>
      <c r="H4" s="82"/>
      <c r="I4" s="9"/>
      <c r="J4" s="9"/>
      <c r="K4" s="9"/>
      <c r="L4" s="9"/>
      <c r="M4" s="9"/>
      <c r="N4" s="9"/>
      <c r="O4" s="9"/>
      <c r="P4" s="9"/>
      <c r="Q4" s="9"/>
      <c r="R4" s="9"/>
      <c r="S4" s="9"/>
      <c r="T4" s="9"/>
      <c r="U4" s="9"/>
      <c r="V4" s="9"/>
      <c r="W4" s="9"/>
      <c r="X4" s="9"/>
      <c r="Y4" s="9"/>
    </row>
    <row r="5" ht="22.5" customHeight="1">
      <c r="A5" s="9"/>
      <c r="B5" s="11">
        <v>3.0</v>
      </c>
      <c r="C5" s="13" t="s">
        <v>357</v>
      </c>
      <c r="D5" s="13" t="s">
        <v>364</v>
      </c>
      <c r="E5" s="13" t="s">
        <v>365</v>
      </c>
      <c r="F5" s="13" t="s">
        <v>366</v>
      </c>
      <c r="G5" s="11"/>
      <c r="H5" s="82"/>
      <c r="I5" s="9"/>
      <c r="J5" s="9"/>
      <c r="K5" s="9"/>
      <c r="L5" s="9"/>
      <c r="M5" s="9"/>
      <c r="N5" s="9"/>
      <c r="O5" s="9"/>
      <c r="P5" s="9"/>
      <c r="Q5" s="9"/>
      <c r="R5" s="9"/>
      <c r="S5" s="9"/>
      <c r="T5" s="9"/>
      <c r="U5" s="9"/>
      <c r="V5" s="9"/>
      <c r="W5" s="9"/>
      <c r="X5" s="9"/>
      <c r="Y5" s="9"/>
    </row>
    <row r="6" ht="22.5" customHeight="1">
      <c r="A6" s="9"/>
      <c r="B6" s="11">
        <v>4.0</v>
      </c>
      <c r="C6" s="13" t="s">
        <v>357</v>
      </c>
      <c r="D6" s="13" t="s">
        <v>367</v>
      </c>
      <c r="E6" s="13" t="s">
        <v>368</v>
      </c>
      <c r="F6" s="13" t="s">
        <v>369</v>
      </c>
      <c r="G6" s="11"/>
      <c r="H6" s="82"/>
      <c r="I6" s="9"/>
      <c r="J6" s="9"/>
      <c r="K6" s="9"/>
      <c r="L6" s="9"/>
      <c r="M6" s="9"/>
      <c r="N6" s="9"/>
      <c r="O6" s="9"/>
      <c r="P6" s="9"/>
      <c r="Q6" s="9"/>
      <c r="R6" s="9"/>
      <c r="S6" s="9"/>
      <c r="T6" s="9"/>
      <c r="U6" s="9"/>
      <c r="V6" s="9"/>
      <c r="W6" s="9"/>
      <c r="X6" s="9"/>
      <c r="Y6" s="9"/>
    </row>
    <row r="7" ht="22.5" customHeight="1">
      <c r="A7" s="9"/>
      <c r="B7" s="11">
        <v>5.0</v>
      </c>
      <c r="C7" s="13" t="s">
        <v>357</v>
      </c>
      <c r="D7" s="13" t="s">
        <v>370</v>
      </c>
      <c r="E7" s="13" t="s">
        <v>371</v>
      </c>
      <c r="F7" s="13" t="s">
        <v>372</v>
      </c>
      <c r="G7" s="11"/>
      <c r="H7" s="82"/>
      <c r="I7" s="9"/>
      <c r="J7" s="9"/>
      <c r="K7" s="9"/>
      <c r="L7" s="9"/>
      <c r="M7" s="9"/>
      <c r="N7" s="9"/>
      <c r="O7" s="9"/>
      <c r="P7" s="9"/>
      <c r="Q7" s="9"/>
      <c r="R7" s="9"/>
      <c r="S7" s="9"/>
      <c r="T7" s="9"/>
      <c r="U7" s="9"/>
      <c r="V7" s="9"/>
      <c r="W7" s="9"/>
      <c r="X7" s="9"/>
      <c r="Y7" s="9"/>
    </row>
    <row r="8" ht="22.5" customHeight="1">
      <c r="A8" s="9"/>
      <c r="B8" s="11">
        <v>6.0</v>
      </c>
      <c r="C8" s="13" t="s">
        <v>357</v>
      </c>
      <c r="D8" s="13" t="s">
        <v>373</v>
      </c>
      <c r="E8" s="13" t="s">
        <v>374</v>
      </c>
      <c r="F8" s="13" t="s">
        <v>375</v>
      </c>
      <c r="G8" s="11"/>
      <c r="H8" s="82"/>
      <c r="I8" s="9"/>
      <c r="J8" s="9"/>
      <c r="K8" s="9"/>
      <c r="L8" s="9"/>
      <c r="M8" s="9"/>
      <c r="N8" s="9"/>
      <c r="O8" s="9"/>
      <c r="P8" s="9"/>
      <c r="Q8" s="9"/>
      <c r="R8" s="9"/>
      <c r="S8" s="9"/>
      <c r="T8" s="9"/>
      <c r="U8" s="9"/>
      <c r="V8" s="9"/>
      <c r="W8" s="9"/>
      <c r="X8" s="9"/>
      <c r="Y8" s="9"/>
    </row>
    <row r="9" ht="22.5" customHeight="1">
      <c r="A9" s="9"/>
      <c r="B9" s="82">
        <v>7.0</v>
      </c>
      <c r="C9" s="13" t="s">
        <v>357</v>
      </c>
      <c r="D9" s="52" t="s">
        <v>376</v>
      </c>
      <c r="E9" s="52" t="s">
        <v>377</v>
      </c>
      <c r="F9" s="52" t="s">
        <v>378</v>
      </c>
      <c r="G9" s="82"/>
      <c r="H9" s="82"/>
      <c r="I9" s="9"/>
      <c r="J9" s="9"/>
      <c r="K9" s="9"/>
      <c r="L9" s="9"/>
      <c r="M9" s="9"/>
      <c r="N9" s="9"/>
      <c r="O9" s="9"/>
      <c r="P9" s="9"/>
      <c r="Q9" s="9"/>
      <c r="R9" s="9"/>
      <c r="S9" s="9"/>
      <c r="T9" s="9"/>
      <c r="U9" s="9"/>
      <c r="V9" s="9"/>
      <c r="W9" s="9"/>
      <c r="X9" s="9"/>
      <c r="Y9" s="9"/>
    </row>
    <row r="10" ht="22.5" customHeight="1">
      <c r="A10" s="9"/>
      <c r="B10" s="82">
        <v>8.0</v>
      </c>
      <c r="C10" s="13" t="s">
        <v>357</v>
      </c>
      <c r="D10" s="52" t="s">
        <v>379</v>
      </c>
      <c r="E10" s="52" t="s">
        <v>380</v>
      </c>
      <c r="F10" s="52" t="s">
        <v>381</v>
      </c>
      <c r="G10" s="82"/>
      <c r="H10" s="82"/>
      <c r="I10" s="9"/>
      <c r="J10" s="9"/>
      <c r="K10" s="9"/>
      <c r="L10" s="9"/>
      <c r="M10" s="9"/>
      <c r="N10" s="9"/>
      <c r="O10" s="9"/>
      <c r="P10" s="9"/>
      <c r="Q10" s="9"/>
      <c r="R10" s="9"/>
      <c r="S10" s="9"/>
      <c r="T10" s="9"/>
      <c r="U10" s="9"/>
      <c r="V10" s="9"/>
      <c r="W10" s="9"/>
      <c r="X10" s="9"/>
      <c r="Y10" s="9"/>
    </row>
    <row r="11" ht="22.5" customHeight="1">
      <c r="A11" s="9"/>
      <c r="B11" s="82">
        <v>9.0</v>
      </c>
      <c r="C11" s="13" t="s">
        <v>357</v>
      </c>
      <c r="D11" s="52" t="s">
        <v>382</v>
      </c>
      <c r="E11" s="52" t="s">
        <v>383</v>
      </c>
      <c r="F11" s="52" t="s">
        <v>384</v>
      </c>
      <c r="G11" s="82"/>
      <c r="H11" s="82"/>
      <c r="I11" s="9"/>
      <c r="J11" s="9"/>
      <c r="K11" s="9"/>
      <c r="L11" s="9"/>
      <c r="M11" s="9"/>
      <c r="N11" s="9"/>
      <c r="O11" s="9"/>
      <c r="P11" s="9"/>
      <c r="Q11" s="9"/>
      <c r="R11" s="9"/>
      <c r="S11" s="9"/>
      <c r="T11" s="9"/>
      <c r="U11" s="9"/>
      <c r="V11" s="9"/>
      <c r="W11" s="9"/>
      <c r="X11" s="9"/>
      <c r="Y11" s="9"/>
    </row>
    <row r="12" ht="22.5" customHeight="1">
      <c r="A12" s="9"/>
      <c r="B12" s="82">
        <v>10.0</v>
      </c>
      <c r="C12" s="13" t="s">
        <v>357</v>
      </c>
      <c r="D12" s="52" t="s">
        <v>385</v>
      </c>
      <c r="E12" s="52" t="s">
        <v>386</v>
      </c>
      <c r="F12" s="52" t="s">
        <v>387</v>
      </c>
      <c r="G12" s="82"/>
      <c r="H12" s="82"/>
      <c r="I12" s="9"/>
      <c r="J12" s="9"/>
      <c r="K12" s="9"/>
      <c r="L12" s="9"/>
      <c r="M12" s="9"/>
      <c r="N12" s="9"/>
      <c r="O12" s="9"/>
      <c r="P12" s="9"/>
      <c r="Q12" s="9"/>
      <c r="R12" s="9"/>
      <c r="S12" s="9"/>
      <c r="T12" s="9"/>
      <c r="U12" s="9"/>
      <c r="V12" s="9"/>
      <c r="W12" s="9"/>
      <c r="X12" s="9"/>
      <c r="Y12" s="9"/>
    </row>
    <row r="13" ht="22.5" customHeight="1">
      <c r="A13" s="9"/>
      <c r="B13" s="82">
        <v>11.0</v>
      </c>
      <c r="C13" s="13" t="s">
        <v>357</v>
      </c>
      <c r="D13" s="52" t="s">
        <v>388</v>
      </c>
      <c r="E13" s="52" t="s">
        <v>389</v>
      </c>
      <c r="F13" s="52" t="s">
        <v>390</v>
      </c>
      <c r="G13" s="82"/>
      <c r="H13" s="82"/>
      <c r="I13" s="9"/>
      <c r="J13" s="9"/>
      <c r="K13" s="9"/>
      <c r="L13" s="9"/>
      <c r="M13" s="9"/>
      <c r="N13" s="9"/>
      <c r="O13" s="9"/>
      <c r="P13" s="9"/>
      <c r="Q13" s="9"/>
      <c r="R13" s="9"/>
      <c r="S13" s="9"/>
      <c r="T13" s="9"/>
      <c r="U13" s="9"/>
      <c r="V13" s="9"/>
      <c r="W13" s="9"/>
      <c r="X13" s="9"/>
      <c r="Y13" s="9"/>
    </row>
    <row r="14" ht="22.5" customHeight="1">
      <c r="A14" s="9"/>
      <c r="B14" s="11">
        <v>12.0</v>
      </c>
      <c r="C14" s="13" t="s">
        <v>391</v>
      </c>
      <c r="D14" s="13" t="s">
        <v>392</v>
      </c>
      <c r="E14" s="13" t="s">
        <v>393</v>
      </c>
      <c r="F14" s="13" t="s">
        <v>394</v>
      </c>
      <c r="G14" s="11"/>
      <c r="H14" s="82"/>
      <c r="I14" s="9"/>
      <c r="J14" s="9"/>
      <c r="K14" s="9"/>
      <c r="L14" s="9"/>
      <c r="M14" s="9"/>
      <c r="N14" s="9"/>
      <c r="O14" s="9"/>
      <c r="P14" s="9"/>
      <c r="Q14" s="9"/>
      <c r="R14" s="9"/>
      <c r="S14" s="9"/>
      <c r="T14" s="9"/>
      <c r="U14" s="9"/>
      <c r="V14" s="9"/>
      <c r="W14" s="9"/>
      <c r="X14" s="9"/>
      <c r="Y14" s="9"/>
    </row>
    <row r="15" ht="22.5" customHeight="1">
      <c r="A15" s="9"/>
      <c r="B15" s="11">
        <v>13.0</v>
      </c>
      <c r="C15" s="13" t="s">
        <v>391</v>
      </c>
      <c r="D15" s="13" t="s">
        <v>395</v>
      </c>
      <c r="E15" s="13" t="s">
        <v>396</v>
      </c>
      <c r="F15" s="13" t="s">
        <v>397</v>
      </c>
      <c r="G15" s="11"/>
      <c r="H15" s="82"/>
      <c r="I15" s="9"/>
      <c r="J15" s="9"/>
      <c r="K15" s="9"/>
      <c r="L15" s="9"/>
      <c r="M15" s="9"/>
      <c r="N15" s="9"/>
      <c r="O15" s="9"/>
      <c r="P15" s="9"/>
      <c r="Q15" s="9"/>
      <c r="R15" s="9"/>
      <c r="S15" s="9"/>
      <c r="T15" s="9"/>
      <c r="U15" s="9"/>
      <c r="V15" s="9"/>
      <c r="W15" s="9"/>
      <c r="X15" s="9"/>
      <c r="Y15" s="9"/>
    </row>
    <row r="16" ht="22.5" customHeight="1">
      <c r="A16" s="9"/>
      <c r="B16" s="11">
        <v>14.0</v>
      </c>
      <c r="C16" s="13" t="s">
        <v>391</v>
      </c>
      <c r="D16" s="13" t="s">
        <v>398</v>
      </c>
      <c r="E16" s="13" t="s">
        <v>399</v>
      </c>
      <c r="F16" s="13" t="s">
        <v>400</v>
      </c>
      <c r="G16" s="11"/>
      <c r="H16" s="82"/>
      <c r="I16" s="9"/>
      <c r="J16" s="9"/>
      <c r="K16" s="9"/>
      <c r="L16" s="9"/>
      <c r="M16" s="9"/>
      <c r="N16" s="9"/>
      <c r="O16" s="9"/>
      <c r="P16" s="9"/>
      <c r="Q16" s="9"/>
      <c r="R16" s="9"/>
      <c r="S16" s="9"/>
      <c r="T16" s="9"/>
      <c r="U16" s="9"/>
      <c r="V16" s="9"/>
      <c r="W16" s="9"/>
      <c r="X16" s="9"/>
      <c r="Y16" s="9"/>
    </row>
    <row r="17" ht="22.5" customHeight="1">
      <c r="A17" s="9"/>
      <c r="B17" s="11">
        <v>15.0</v>
      </c>
      <c r="C17" s="13" t="s">
        <v>180</v>
      </c>
      <c r="D17" s="13" t="s">
        <v>401</v>
      </c>
      <c r="E17" s="13" t="s">
        <v>402</v>
      </c>
      <c r="F17" s="13" t="s">
        <v>403</v>
      </c>
      <c r="G17" s="11"/>
      <c r="H17" s="82"/>
      <c r="I17" s="9"/>
      <c r="J17" s="9"/>
      <c r="K17" s="9"/>
      <c r="L17" s="9"/>
      <c r="M17" s="9"/>
      <c r="N17" s="9"/>
      <c r="O17" s="9"/>
      <c r="P17" s="9"/>
      <c r="Q17" s="9"/>
      <c r="R17" s="9"/>
      <c r="S17" s="9"/>
      <c r="T17" s="9"/>
      <c r="U17" s="9"/>
      <c r="V17" s="9"/>
      <c r="W17" s="9"/>
      <c r="X17" s="9"/>
      <c r="Y17" s="9"/>
    </row>
    <row r="18" ht="22.5" customHeight="1">
      <c r="A18" s="9"/>
      <c r="B18" s="11">
        <v>16.0</v>
      </c>
      <c r="C18" s="13" t="s">
        <v>212</v>
      </c>
      <c r="D18" s="13" t="s">
        <v>404</v>
      </c>
      <c r="E18" s="13" t="s">
        <v>405</v>
      </c>
      <c r="F18" s="13" t="s">
        <v>406</v>
      </c>
      <c r="G18" s="11"/>
      <c r="H18" s="82"/>
      <c r="I18" s="9"/>
      <c r="J18" s="9"/>
      <c r="K18" s="9"/>
      <c r="L18" s="9"/>
      <c r="M18" s="9"/>
      <c r="N18" s="9"/>
      <c r="O18" s="9"/>
      <c r="P18" s="9"/>
      <c r="Q18" s="9"/>
      <c r="R18" s="9"/>
      <c r="S18" s="9"/>
      <c r="T18" s="9"/>
      <c r="U18" s="9"/>
      <c r="V18" s="9"/>
      <c r="W18" s="9"/>
      <c r="X18" s="9"/>
      <c r="Y18" s="9"/>
    </row>
    <row r="19" ht="22.5" customHeight="1">
      <c r="A19" s="9"/>
      <c r="B19" s="11">
        <v>17.0</v>
      </c>
      <c r="C19" s="13" t="s">
        <v>391</v>
      </c>
      <c r="D19" s="13" t="s">
        <v>407</v>
      </c>
      <c r="E19" s="11"/>
      <c r="F19" s="13" t="s">
        <v>408</v>
      </c>
      <c r="G19" s="90" t="s">
        <v>409</v>
      </c>
      <c r="H19" s="111"/>
      <c r="I19" s="9"/>
      <c r="J19" s="9"/>
      <c r="K19" s="9"/>
      <c r="L19" s="9"/>
      <c r="M19" s="9"/>
      <c r="N19" s="9"/>
      <c r="O19" s="9"/>
      <c r="P19" s="9"/>
      <c r="Q19" s="9"/>
      <c r="R19" s="9"/>
      <c r="S19" s="9"/>
      <c r="T19" s="9"/>
      <c r="U19" s="9"/>
      <c r="V19" s="9"/>
      <c r="W19" s="9"/>
      <c r="X19" s="9"/>
      <c r="Y19" s="9"/>
    </row>
    <row r="20" ht="22.5" customHeight="1">
      <c r="A20" s="9"/>
      <c r="B20" s="11">
        <v>18.0</v>
      </c>
      <c r="C20" s="13" t="s">
        <v>391</v>
      </c>
      <c r="D20" s="13" t="s">
        <v>410</v>
      </c>
      <c r="E20" s="11"/>
      <c r="F20" s="13" t="s">
        <v>411</v>
      </c>
      <c r="G20" s="90" t="s">
        <v>412</v>
      </c>
      <c r="H20" s="111"/>
      <c r="I20" s="9"/>
      <c r="J20" s="9"/>
      <c r="K20" s="9"/>
      <c r="L20" s="9"/>
      <c r="M20" s="9"/>
      <c r="N20" s="9"/>
      <c r="O20" s="9"/>
      <c r="P20" s="9"/>
      <c r="Q20" s="9"/>
      <c r="R20" s="9"/>
      <c r="S20" s="9"/>
      <c r="T20" s="9"/>
      <c r="U20" s="9"/>
      <c r="V20" s="9"/>
      <c r="W20" s="9"/>
      <c r="X20" s="9"/>
      <c r="Y20" s="9"/>
    </row>
    <row r="21" ht="22.5" customHeight="1">
      <c r="A21" s="9"/>
      <c r="B21" s="11">
        <v>19.0</v>
      </c>
      <c r="C21" s="13" t="s">
        <v>391</v>
      </c>
      <c r="D21" s="52" t="s">
        <v>413</v>
      </c>
      <c r="E21" s="82"/>
      <c r="F21" s="80" t="s">
        <v>414</v>
      </c>
      <c r="G21" s="90" t="s">
        <v>412</v>
      </c>
      <c r="H21" s="111"/>
      <c r="I21" s="9"/>
      <c r="J21" s="9"/>
      <c r="K21" s="9"/>
      <c r="L21" s="9"/>
      <c r="M21" s="9"/>
      <c r="N21" s="9"/>
      <c r="O21" s="9"/>
      <c r="P21" s="9"/>
      <c r="Q21" s="9"/>
      <c r="R21" s="9"/>
      <c r="S21" s="9"/>
      <c r="T21" s="9"/>
      <c r="U21" s="9"/>
      <c r="V21" s="9"/>
      <c r="W21" s="9"/>
      <c r="X21" s="9"/>
      <c r="Y21" s="9"/>
    </row>
    <row r="22" ht="22.5" customHeight="1">
      <c r="A22" s="9"/>
      <c r="B22" s="11">
        <v>20.0</v>
      </c>
      <c r="C22" s="52" t="s">
        <v>391</v>
      </c>
      <c r="D22" s="52" t="s">
        <v>415</v>
      </c>
      <c r="E22" s="82"/>
      <c r="F22" s="52" t="s">
        <v>416</v>
      </c>
      <c r="G22" s="82"/>
      <c r="H22" s="82"/>
      <c r="I22" s="9"/>
      <c r="J22" s="9"/>
      <c r="K22" s="9"/>
      <c r="L22" s="9"/>
      <c r="M22" s="9"/>
      <c r="N22" s="9"/>
      <c r="O22" s="9"/>
      <c r="P22" s="9"/>
      <c r="Q22" s="9"/>
      <c r="R22" s="9"/>
      <c r="S22" s="9"/>
      <c r="T22" s="9"/>
      <c r="U22" s="9"/>
      <c r="V22" s="9"/>
      <c r="W22" s="9"/>
      <c r="X22" s="9"/>
      <c r="Y22" s="9"/>
    </row>
    <row r="23" ht="22.5" customHeight="1">
      <c r="A23" s="9"/>
      <c r="B23" s="11">
        <v>21.0</v>
      </c>
      <c r="C23" s="52" t="s">
        <v>180</v>
      </c>
      <c r="D23" s="52" t="s">
        <v>417</v>
      </c>
      <c r="E23" s="52" t="s">
        <v>418</v>
      </c>
      <c r="F23" s="82"/>
      <c r="G23" s="82"/>
      <c r="H23" s="82"/>
      <c r="I23" s="9"/>
      <c r="J23" s="9"/>
      <c r="K23" s="9"/>
      <c r="L23" s="9"/>
      <c r="M23" s="9"/>
      <c r="N23" s="9"/>
      <c r="O23" s="9"/>
      <c r="P23" s="9"/>
      <c r="Q23" s="9"/>
      <c r="R23" s="9"/>
      <c r="S23" s="9"/>
      <c r="T23" s="9"/>
      <c r="U23" s="9"/>
      <c r="V23" s="9"/>
      <c r="W23" s="9"/>
      <c r="X23" s="9"/>
      <c r="Y23" s="9"/>
    </row>
    <row r="24" ht="66.0" customHeight="1">
      <c r="A24" s="9"/>
      <c r="B24" s="11">
        <v>22.0</v>
      </c>
      <c r="C24" s="52" t="s">
        <v>180</v>
      </c>
      <c r="D24" s="52" t="s">
        <v>419</v>
      </c>
      <c r="E24" s="82"/>
      <c r="F24" s="82"/>
      <c r="G24" s="82"/>
      <c r="H24" s="82"/>
      <c r="I24" s="9"/>
      <c r="J24" s="9"/>
      <c r="K24" s="9"/>
      <c r="L24" s="9"/>
      <c r="M24" s="9"/>
      <c r="N24" s="9"/>
      <c r="O24" s="9"/>
      <c r="P24" s="9"/>
      <c r="Q24" s="9"/>
      <c r="R24" s="9"/>
      <c r="S24" s="9"/>
      <c r="T24" s="9"/>
      <c r="U24" s="9"/>
      <c r="V24" s="9"/>
      <c r="W24" s="9"/>
      <c r="X24" s="9"/>
      <c r="Y24" s="9"/>
    </row>
    <row r="25" ht="22.5" customHeight="1">
      <c r="A25" s="9"/>
      <c r="B25" s="11">
        <v>23.0</v>
      </c>
      <c r="C25" s="52" t="s">
        <v>391</v>
      </c>
      <c r="D25" s="80" t="s">
        <v>420</v>
      </c>
      <c r="E25" s="87"/>
      <c r="F25" s="87" t="s">
        <v>421</v>
      </c>
      <c r="G25" s="82"/>
      <c r="H25" s="82"/>
      <c r="I25" s="9"/>
      <c r="J25" s="9"/>
      <c r="K25" s="9"/>
      <c r="L25" s="9"/>
      <c r="M25" s="9"/>
      <c r="N25" s="9"/>
      <c r="O25" s="9"/>
      <c r="P25" s="9"/>
      <c r="Q25" s="9"/>
      <c r="R25" s="9"/>
      <c r="S25" s="9"/>
      <c r="T25" s="9"/>
      <c r="U25" s="9"/>
      <c r="V25" s="9"/>
      <c r="W25" s="9"/>
      <c r="X25" s="9"/>
      <c r="Y25" s="9"/>
    </row>
    <row r="26" ht="302.25" customHeight="1">
      <c r="A26" s="9"/>
      <c r="B26" s="11">
        <v>24.0</v>
      </c>
      <c r="C26" s="52" t="s">
        <v>391</v>
      </c>
      <c r="D26" s="52" t="s">
        <v>422</v>
      </c>
      <c r="E26" s="82"/>
      <c r="F26" s="52" t="s">
        <v>423</v>
      </c>
      <c r="G26" s="82"/>
      <c r="H26" s="82"/>
      <c r="I26" s="9"/>
      <c r="J26" s="9"/>
      <c r="K26" s="9"/>
      <c r="L26" s="9"/>
      <c r="M26" s="9"/>
      <c r="N26" s="9"/>
      <c r="O26" s="9"/>
      <c r="P26" s="9"/>
      <c r="Q26" s="9"/>
      <c r="R26" s="9"/>
      <c r="S26" s="9"/>
      <c r="T26" s="9"/>
      <c r="U26" s="9"/>
      <c r="V26" s="9"/>
      <c r="W26" s="9"/>
      <c r="X26" s="9"/>
      <c r="Y26" s="9"/>
    </row>
    <row r="27" ht="127.5" customHeight="1">
      <c r="A27" s="9"/>
      <c r="B27" s="11">
        <v>25.0</v>
      </c>
      <c r="C27" s="52" t="s">
        <v>391</v>
      </c>
      <c r="D27" s="80" t="s">
        <v>424</v>
      </c>
      <c r="E27" s="82"/>
      <c r="F27" s="52" t="s">
        <v>425</v>
      </c>
      <c r="G27" s="82"/>
      <c r="H27" s="82"/>
      <c r="I27" s="9"/>
      <c r="J27" s="9"/>
      <c r="K27" s="9"/>
      <c r="L27" s="9"/>
      <c r="M27" s="9"/>
      <c r="N27" s="9"/>
      <c r="O27" s="9"/>
      <c r="P27" s="9"/>
      <c r="Q27" s="9"/>
      <c r="R27" s="9"/>
      <c r="S27" s="9"/>
      <c r="T27" s="9"/>
      <c r="U27" s="9"/>
      <c r="V27" s="9"/>
      <c r="W27" s="9"/>
      <c r="X27" s="9"/>
      <c r="Y27" s="9"/>
    </row>
    <row r="28" ht="22.5" customHeight="1">
      <c r="A28" s="9"/>
      <c r="B28" s="82">
        <v>26.0</v>
      </c>
      <c r="C28" s="52" t="s">
        <v>180</v>
      </c>
      <c r="D28" s="76" t="s">
        <v>426</v>
      </c>
      <c r="E28" s="52"/>
      <c r="F28" s="52" t="s">
        <v>427</v>
      </c>
      <c r="G28" s="52" t="s">
        <v>428</v>
      </c>
      <c r="H28" s="111"/>
      <c r="I28" s="9"/>
      <c r="J28" s="9"/>
      <c r="K28" s="9"/>
      <c r="L28" s="9"/>
      <c r="M28" s="9"/>
      <c r="N28" s="9"/>
      <c r="O28" s="9"/>
      <c r="P28" s="9"/>
      <c r="Q28" s="9"/>
      <c r="R28" s="9"/>
      <c r="S28" s="9"/>
      <c r="T28" s="9"/>
      <c r="U28" s="9"/>
      <c r="V28" s="9"/>
      <c r="W28" s="9"/>
      <c r="X28" s="9"/>
      <c r="Y28" s="9"/>
    </row>
    <row r="29" ht="296.25" customHeight="1">
      <c r="A29" s="9"/>
      <c r="B29" s="82">
        <v>27.0</v>
      </c>
      <c r="C29" s="52" t="s">
        <v>391</v>
      </c>
      <c r="D29" s="112" t="s">
        <v>429</v>
      </c>
      <c r="E29" s="52"/>
      <c r="F29" s="52" t="s">
        <v>430</v>
      </c>
      <c r="G29" s="52"/>
      <c r="H29" s="111"/>
      <c r="I29" s="9"/>
      <c r="J29" s="9"/>
      <c r="K29" s="9"/>
      <c r="L29" s="9"/>
      <c r="M29" s="9"/>
      <c r="N29" s="9"/>
      <c r="O29" s="9"/>
      <c r="P29" s="9"/>
      <c r="Q29" s="9"/>
      <c r="R29" s="9"/>
      <c r="S29" s="9"/>
      <c r="T29" s="9"/>
      <c r="U29" s="9"/>
      <c r="V29" s="9"/>
      <c r="W29" s="9"/>
      <c r="X29" s="9"/>
      <c r="Y29" s="9"/>
    </row>
    <row r="30" ht="72.0" customHeight="1">
      <c r="A30" s="9"/>
      <c r="B30" s="82">
        <v>28.0</v>
      </c>
      <c r="C30" s="52" t="s">
        <v>391</v>
      </c>
      <c r="D30" s="112" t="s">
        <v>431</v>
      </c>
      <c r="E30" s="52"/>
      <c r="F30" s="80" t="s">
        <v>432</v>
      </c>
      <c r="G30" s="52"/>
      <c r="H30" s="111"/>
      <c r="I30" s="9"/>
      <c r="J30" s="9"/>
      <c r="K30" s="9"/>
      <c r="L30" s="9"/>
      <c r="M30" s="9"/>
      <c r="N30" s="9"/>
      <c r="O30" s="9"/>
      <c r="P30" s="9"/>
      <c r="Q30" s="9"/>
      <c r="R30" s="9"/>
      <c r="S30" s="9"/>
      <c r="T30" s="9"/>
      <c r="U30" s="9"/>
      <c r="V30" s="9"/>
      <c r="W30" s="9"/>
      <c r="X30" s="9"/>
      <c r="Y30" s="9"/>
    </row>
    <row r="31" ht="22.5" customHeight="1">
      <c r="A31" s="9"/>
      <c r="B31" s="82">
        <v>29.0</v>
      </c>
      <c r="C31" s="52" t="s">
        <v>180</v>
      </c>
      <c r="D31" s="52" t="s">
        <v>433</v>
      </c>
      <c r="E31" s="52" t="s">
        <v>434</v>
      </c>
      <c r="F31" s="80" t="s">
        <v>435</v>
      </c>
      <c r="G31" s="82"/>
      <c r="H31" s="82"/>
      <c r="I31" s="9"/>
      <c r="J31" s="9"/>
      <c r="K31" s="9"/>
      <c r="L31" s="9"/>
      <c r="M31" s="9"/>
      <c r="N31" s="9"/>
      <c r="O31" s="9"/>
      <c r="P31" s="9"/>
      <c r="Q31" s="9"/>
      <c r="R31" s="9"/>
      <c r="S31" s="9"/>
      <c r="T31" s="9"/>
      <c r="U31" s="9"/>
      <c r="V31" s="9"/>
      <c r="W31" s="9"/>
      <c r="X31" s="9"/>
      <c r="Y31" s="9"/>
    </row>
    <row r="32" ht="22.5" customHeight="1">
      <c r="A32" s="9"/>
      <c r="B32" s="82">
        <v>30.0</v>
      </c>
      <c r="C32" s="52" t="s">
        <v>180</v>
      </c>
      <c r="D32" s="52" t="s">
        <v>436</v>
      </c>
      <c r="E32" s="52" t="s">
        <v>437</v>
      </c>
      <c r="F32" s="82"/>
      <c r="G32" s="82"/>
      <c r="H32" s="82"/>
      <c r="I32" s="9"/>
      <c r="J32" s="9"/>
      <c r="K32" s="9"/>
      <c r="L32" s="9"/>
      <c r="M32" s="9"/>
      <c r="N32" s="9"/>
      <c r="O32" s="9"/>
      <c r="P32" s="9"/>
      <c r="Q32" s="9"/>
      <c r="R32" s="9"/>
      <c r="S32" s="9"/>
      <c r="T32" s="9"/>
      <c r="U32" s="9"/>
      <c r="V32" s="9"/>
      <c r="W32" s="9"/>
      <c r="X32" s="9"/>
      <c r="Y32" s="9"/>
    </row>
    <row r="33" ht="226.5" customHeight="1">
      <c r="A33" s="9"/>
      <c r="B33" s="82">
        <v>31.0</v>
      </c>
      <c r="C33" s="52" t="s">
        <v>336</v>
      </c>
      <c r="D33" s="52" t="s">
        <v>438</v>
      </c>
      <c r="E33" s="52"/>
      <c r="F33" s="13" t="s">
        <v>439</v>
      </c>
      <c r="G33" s="82"/>
      <c r="H33" s="82"/>
      <c r="I33" s="9"/>
      <c r="J33" s="9"/>
      <c r="K33" s="9"/>
      <c r="L33" s="9"/>
      <c r="M33" s="9"/>
      <c r="N33" s="9"/>
      <c r="O33" s="9"/>
      <c r="P33" s="9"/>
      <c r="Q33" s="9"/>
      <c r="R33" s="9"/>
      <c r="S33" s="9"/>
      <c r="T33" s="9"/>
      <c r="U33" s="9"/>
      <c r="V33" s="9"/>
      <c r="W33" s="9"/>
      <c r="X33" s="9"/>
      <c r="Y33" s="9"/>
    </row>
    <row r="34" ht="22.5" customHeight="1">
      <c r="A34" s="9"/>
      <c r="B34" s="82">
        <v>32.0</v>
      </c>
      <c r="C34" s="52" t="s">
        <v>180</v>
      </c>
      <c r="D34" s="80" t="s">
        <v>440</v>
      </c>
      <c r="E34" s="52" t="s">
        <v>441</v>
      </c>
      <c r="F34" s="52" t="s">
        <v>442</v>
      </c>
      <c r="G34" s="82"/>
      <c r="H34" s="82"/>
      <c r="I34" s="9"/>
      <c r="J34" s="9"/>
      <c r="K34" s="9"/>
      <c r="L34" s="9"/>
      <c r="M34" s="9"/>
      <c r="N34" s="9"/>
      <c r="O34" s="9"/>
      <c r="P34" s="9"/>
      <c r="Q34" s="9"/>
      <c r="R34" s="9"/>
      <c r="S34" s="9"/>
      <c r="T34" s="9"/>
      <c r="U34" s="9"/>
      <c r="V34" s="9"/>
      <c r="W34" s="9"/>
      <c r="X34" s="9"/>
      <c r="Y34" s="9"/>
    </row>
    <row r="35" ht="22.5" customHeight="1">
      <c r="A35" s="9"/>
      <c r="B35" s="82">
        <v>33.0</v>
      </c>
      <c r="C35" s="52" t="s">
        <v>180</v>
      </c>
      <c r="D35" s="13" t="s">
        <v>443</v>
      </c>
      <c r="E35" s="11"/>
      <c r="F35" s="13" t="s">
        <v>444</v>
      </c>
      <c r="G35" s="11"/>
      <c r="H35" s="11"/>
      <c r="I35" s="9"/>
      <c r="J35" s="9"/>
      <c r="K35" s="9"/>
      <c r="L35" s="9"/>
      <c r="M35" s="9"/>
      <c r="N35" s="9"/>
      <c r="O35" s="9"/>
      <c r="P35" s="9"/>
      <c r="Q35" s="9"/>
      <c r="R35" s="9"/>
      <c r="S35" s="9"/>
      <c r="T35" s="9"/>
      <c r="U35" s="9"/>
      <c r="V35" s="9"/>
      <c r="W35" s="9"/>
      <c r="X35" s="9"/>
      <c r="Y35" s="9"/>
    </row>
    <row r="36" ht="22.5" customHeight="1">
      <c r="A36" s="9"/>
      <c r="B36" s="82">
        <v>34.0</v>
      </c>
      <c r="C36" s="52" t="s">
        <v>180</v>
      </c>
      <c r="D36" s="13" t="s">
        <v>445</v>
      </c>
      <c r="E36" s="82"/>
      <c r="F36" s="52" t="s">
        <v>446</v>
      </c>
      <c r="G36" s="82"/>
      <c r="H36" s="82"/>
      <c r="I36" s="9"/>
      <c r="J36" s="9"/>
      <c r="K36" s="9"/>
      <c r="L36" s="9"/>
      <c r="M36" s="9"/>
      <c r="N36" s="9"/>
      <c r="O36" s="9"/>
      <c r="P36" s="9"/>
      <c r="Q36" s="9"/>
      <c r="R36" s="9"/>
      <c r="S36" s="9"/>
      <c r="T36" s="9"/>
      <c r="U36" s="9"/>
      <c r="V36" s="9"/>
      <c r="W36" s="9"/>
      <c r="X36" s="9"/>
      <c r="Y36" s="9"/>
    </row>
    <row r="37" ht="22.5" customHeight="1">
      <c r="A37" s="9"/>
      <c r="B37" s="82">
        <v>35.0</v>
      </c>
      <c r="C37" s="13" t="s">
        <v>336</v>
      </c>
      <c r="D37" s="13" t="s">
        <v>447</v>
      </c>
      <c r="E37" s="11"/>
      <c r="F37" s="13" t="s">
        <v>448</v>
      </c>
      <c r="G37" s="11"/>
      <c r="H37" s="11"/>
      <c r="I37" s="9"/>
      <c r="J37" s="9"/>
      <c r="K37" s="9"/>
      <c r="L37" s="9"/>
      <c r="M37" s="9"/>
      <c r="N37" s="9"/>
      <c r="O37" s="9"/>
      <c r="P37" s="9"/>
      <c r="Q37" s="9"/>
      <c r="R37" s="9"/>
      <c r="S37" s="9"/>
      <c r="T37" s="9"/>
      <c r="U37" s="9"/>
      <c r="V37" s="9"/>
      <c r="W37" s="9"/>
      <c r="X37" s="9"/>
      <c r="Y37" s="9"/>
    </row>
    <row r="38" ht="22.5" customHeight="1">
      <c r="A38" s="9"/>
      <c r="B38" s="11">
        <v>36.0</v>
      </c>
      <c r="C38" s="13" t="s">
        <v>336</v>
      </c>
      <c r="D38" s="13" t="s">
        <v>449</v>
      </c>
      <c r="E38" s="11"/>
      <c r="F38" s="13" t="s">
        <v>450</v>
      </c>
      <c r="G38" s="11"/>
      <c r="H38" s="11"/>
      <c r="I38" s="9"/>
      <c r="J38" s="9"/>
      <c r="K38" s="9"/>
      <c r="L38" s="9"/>
      <c r="M38" s="9"/>
      <c r="N38" s="9"/>
      <c r="O38" s="9"/>
      <c r="P38" s="9"/>
      <c r="Q38" s="9"/>
      <c r="R38" s="9"/>
      <c r="S38" s="9"/>
      <c r="T38" s="9"/>
      <c r="U38" s="9"/>
      <c r="V38" s="9"/>
      <c r="W38" s="9"/>
      <c r="X38" s="9"/>
      <c r="Y38" s="9"/>
    </row>
    <row r="39" ht="22.5" customHeight="1">
      <c r="A39" s="9"/>
      <c r="B39" s="11">
        <v>37.0</v>
      </c>
      <c r="C39" s="13" t="s">
        <v>336</v>
      </c>
      <c r="D39" s="13" t="s">
        <v>451</v>
      </c>
      <c r="E39" s="13" t="s">
        <v>452</v>
      </c>
      <c r="F39" s="13" t="s">
        <v>453</v>
      </c>
      <c r="G39" s="11"/>
      <c r="H39" s="11"/>
      <c r="I39" s="9"/>
      <c r="J39" s="9"/>
      <c r="K39" s="9"/>
      <c r="L39" s="9"/>
      <c r="M39" s="9"/>
      <c r="N39" s="9"/>
      <c r="O39" s="9"/>
      <c r="P39" s="9"/>
      <c r="Q39" s="9"/>
      <c r="R39" s="9"/>
      <c r="S39" s="9"/>
      <c r="T39" s="9"/>
      <c r="U39" s="9"/>
      <c r="V39" s="9"/>
      <c r="W39" s="9"/>
      <c r="X39" s="9"/>
      <c r="Y39" s="9"/>
    </row>
    <row r="40" ht="22.5" customHeight="1">
      <c r="A40" s="9"/>
      <c r="B40" s="13">
        <v>38.0</v>
      </c>
      <c r="C40" s="13" t="s">
        <v>454</v>
      </c>
      <c r="D40" s="13" t="s">
        <v>455</v>
      </c>
      <c r="E40" s="13" t="s">
        <v>456</v>
      </c>
      <c r="F40" s="13" t="s">
        <v>457</v>
      </c>
      <c r="G40" s="11"/>
      <c r="H40" s="11"/>
      <c r="I40" s="9"/>
      <c r="J40" s="9"/>
      <c r="K40" s="9"/>
      <c r="L40" s="9"/>
      <c r="M40" s="9"/>
      <c r="N40" s="9"/>
      <c r="O40" s="9"/>
      <c r="P40" s="9"/>
      <c r="Q40" s="9"/>
      <c r="R40" s="9"/>
      <c r="S40" s="9"/>
      <c r="T40" s="9"/>
      <c r="U40" s="9"/>
      <c r="V40" s="9"/>
      <c r="W40" s="9"/>
      <c r="X40" s="9"/>
      <c r="Y40" s="9"/>
    </row>
    <row r="41" ht="22.5" customHeight="1">
      <c r="A41" s="9"/>
      <c r="B41" s="11">
        <v>39.0</v>
      </c>
      <c r="C41" s="13" t="s">
        <v>454</v>
      </c>
      <c r="D41" s="13" t="s">
        <v>458</v>
      </c>
      <c r="E41" s="13" t="s">
        <v>456</v>
      </c>
      <c r="F41" s="13" t="s">
        <v>459</v>
      </c>
      <c r="G41" s="11"/>
      <c r="H41" s="11"/>
      <c r="I41" s="9"/>
      <c r="J41" s="9"/>
      <c r="K41" s="9"/>
      <c r="L41" s="9"/>
      <c r="M41" s="9"/>
      <c r="N41" s="9"/>
      <c r="O41" s="9"/>
      <c r="P41" s="9"/>
      <c r="Q41" s="9"/>
      <c r="R41" s="9"/>
      <c r="S41" s="9"/>
      <c r="T41" s="9"/>
      <c r="U41" s="9"/>
      <c r="V41" s="9"/>
      <c r="W41" s="9"/>
      <c r="X41" s="9"/>
      <c r="Y41" s="9"/>
    </row>
    <row r="42" ht="22.5" customHeight="1">
      <c r="A42" s="9"/>
      <c r="B42" s="11">
        <v>40.0</v>
      </c>
      <c r="C42" s="13" t="s">
        <v>454</v>
      </c>
      <c r="D42" s="13" t="s">
        <v>460</v>
      </c>
      <c r="E42" s="13" t="s">
        <v>456</v>
      </c>
      <c r="F42" s="16" t="s">
        <v>461</v>
      </c>
      <c r="G42" s="11"/>
      <c r="H42" s="11"/>
      <c r="I42" s="9"/>
      <c r="J42" s="9"/>
      <c r="K42" s="9"/>
      <c r="L42" s="9"/>
      <c r="M42" s="9"/>
      <c r="N42" s="9"/>
      <c r="O42" s="9"/>
      <c r="P42" s="9"/>
      <c r="Q42" s="9"/>
      <c r="R42" s="9"/>
      <c r="S42" s="9"/>
      <c r="T42" s="9"/>
      <c r="U42" s="9"/>
      <c r="V42" s="9"/>
      <c r="W42" s="9"/>
      <c r="X42" s="9"/>
      <c r="Y42" s="9"/>
    </row>
    <row r="43" ht="22.5" customHeight="1">
      <c r="A43" s="9"/>
      <c r="B43" s="13">
        <v>41.0</v>
      </c>
      <c r="C43" s="13" t="s">
        <v>454</v>
      </c>
      <c r="D43" s="13" t="s">
        <v>462</v>
      </c>
      <c r="E43" s="13" t="s">
        <v>463</v>
      </c>
      <c r="F43" s="11"/>
      <c r="G43" s="11"/>
      <c r="H43" s="11"/>
      <c r="I43" s="9"/>
      <c r="J43" s="9"/>
      <c r="K43" s="9"/>
      <c r="L43" s="9"/>
      <c r="M43" s="9"/>
      <c r="N43" s="9"/>
      <c r="O43" s="9"/>
      <c r="P43" s="9"/>
      <c r="Q43" s="9"/>
      <c r="R43" s="9"/>
      <c r="S43" s="9"/>
      <c r="T43" s="9"/>
      <c r="U43" s="9"/>
      <c r="V43" s="9"/>
      <c r="W43" s="9"/>
      <c r="X43" s="9"/>
      <c r="Y43" s="9"/>
    </row>
    <row r="44" ht="22.5" customHeight="1">
      <c r="A44" s="9"/>
      <c r="B44" s="13">
        <v>42.0</v>
      </c>
      <c r="C44" s="13" t="s">
        <v>454</v>
      </c>
      <c r="D44" s="13" t="s">
        <v>464</v>
      </c>
      <c r="E44" s="13" t="s">
        <v>465</v>
      </c>
      <c r="F44" s="11"/>
      <c r="G44" s="11"/>
      <c r="H44" s="11"/>
      <c r="I44" s="9"/>
      <c r="J44" s="9"/>
      <c r="K44" s="9"/>
      <c r="L44" s="9"/>
      <c r="M44" s="9"/>
      <c r="N44" s="9"/>
      <c r="O44" s="9"/>
      <c r="P44" s="9"/>
      <c r="Q44" s="9"/>
      <c r="R44" s="9"/>
      <c r="S44" s="9"/>
      <c r="T44" s="9"/>
      <c r="U44" s="9"/>
      <c r="V44" s="9"/>
      <c r="W44" s="9"/>
      <c r="X44" s="9"/>
      <c r="Y44" s="9"/>
    </row>
    <row r="45" ht="22.5" customHeight="1">
      <c r="A45" s="9"/>
      <c r="B45" s="11"/>
      <c r="C45" s="13"/>
      <c r="D45" s="13"/>
      <c r="E45" s="11"/>
      <c r="F45" s="11"/>
      <c r="G45" s="11"/>
      <c r="H45" s="11"/>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row>
  </sheetData>
  <hyperlinks>
    <hyperlink r:id="rId4" location="slide=id.g37b3e7fc81d_0_0" ref="G19"/>
    <hyperlink r:id="rId5" location="gid=2091780896" ref="G20"/>
    <hyperlink r:id="rId6" ref="F21"/>
    <hyperlink r:id="rId7" location="gid=2091780896" ref="G21"/>
    <hyperlink r:id="rId8" ref="D25"/>
    <hyperlink r:id="rId9" ref="D27"/>
    <hyperlink r:id="rId10" location="gid=858407144" ref="D28"/>
    <hyperlink r:id="rId11" ref="F30"/>
    <hyperlink r:id="rId12" location="gid=1214124092&amp;range=48:48" ref="F31"/>
    <hyperlink r:id="rId13" ref="D34"/>
    <hyperlink r:id="rId14" ref="F42"/>
  </hyperlinks>
  <drawing r:id="rId15"/>
  <legacyDrawing r:id="rId16"/>
  <tableParts count="1">
    <tablePart r:id="rId1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3" width="13.88"/>
    <col customWidth="1" min="4" max="5" width="25.0"/>
    <col customWidth="1" min="6" max="7" width="34.0"/>
    <col customWidth="1" min="8" max="8" width="10.5"/>
    <col customWidth="1" min="9" max="12" width="12.13"/>
    <col customWidth="1" min="13" max="14" width="17.13"/>
    <col customWidth="1" min="15" max="15" width="13.75"/>
    <col customWidth="1" min="16" max="16" width="13.88"/>
    <col customWidth="1" min="17" max="17" width="11.13"/>
    <col customWidth="1" min="18" max="19" width="33.38"/>
  </cols>
  <sheetData>
    <row r="1" ht="51.75" customHeight="1">
      <c r="A1" s="42" t="s">
        <v>87</v>
      </c>
      <c r="B1" s="42" t="s">
        <v>88</v>
      </c>
      <c r="C1" s="113" t="s">
        <v>466</v>
      </c>
      <c r="D1" s="42" t="s">
        <v>89</v>
      </c>
      <c r="E1" s="113" t="s">
        <v>467</v>
      </c>
      <c r="F1" s="42" t="s">
        <v>90</v>
      </c>
      <c r="G1" s="114" t="s">
        <v>468</v>
      </c>
      <c r="H1" s="43" t="s">
        <v>91</v>
      </c>
      <c r="I1" s="43" t="s">
        <v>92</v>
      </c>
      <c r="J1" s="43" t="s">
        <v>93</v>
      </c>
      <c r="K1" s="43" t="s">
        <v>469</v>
      </c>
      <c r="L1" s="43" t="s">
        <v>94</v>
      </c>
      <c r="M1" s="43" t="s">
        <v>95</v>
      </c>
      <c r="N1" s="43" t="s">
        <v>96</v>
      </c>
      <c r="O1" s="43" t="s">
        <v>97</v>
      </c>
      <c r="P1" s="43" t="s">
        <v>98</v>
      </c>
      <c r="Q1" s="43" t="s">
        <v>99</v>
      </c>
      <c r="R1" s="43" t="s">
        <v>100</v>
      </c>
      <c r="S1" s="43" t="s">
        <v>5</v>
      </c>
      <c r="T1" s="9"/>
      <c r="U1" s="9"/>
      <c r="V1" s="9"/>
      <c r="W1" s="9"/>
      <c r="X1" s="9"/>
      <c r="Y1" s="9"/>
      <c r="Z1" s="9"/>
      <c r="AA1" s="9"/>
      <c r="AB1" s="9"/>
      <c r="AC1" s="9"/>
      <c r="AD1" s="9"/>
      <c r="AE1" s="9"/>
      <c r="AF1" s="9"/>
      <c r="AG1" s="9"/>
      <c r="AH1" s="9"/>
      <c r="AI1" s="9"/>
      <c r="AJ1" s="9"/>
    </row>
    <row r="2" ht="43.5" customHeight="1">
      <c r="A2" s="46" t="s">
        <v>104</v>
      </c>
      <c r="B2" s="46" t="s">
        <v>105</v>
      </c>
      <c r="C2" s="13" t="str">
        <f>IFERROR(__xludf.DUMMYFUNCTION("GOOGLETRANSLATE(B2,""ja"",""vi"")"),"Phát triển mô-đun")</f>
        <v>Phát triển mô-đun</v>
      </c>
      <c r="D2" s="13" t="s">
        <v>106</v>
      </c>
      <c r="E2" s="13" t="str">
        <f>IFERROR(__xludf.DUMMYFUNCTION("GOOGLETRANSLATE(D2,""ja"",""vi"")"),"Phát triển mới mô-đun nhận dạng giọng nói cho AmiVoice")</f>
        <v>Phát triển mới mô-đun nhận dạng giọng nói cho AmiVoice</v>
      </c>
      <c r="F2" s="13" t="s">
        <v>470</v>
      </c>
      <c r="G2" s="13" t="str">
        <f>IFERROR(__xludf.DUMMYFUNCTION("GOOGLETRANSLATE(F2,""ja"",""vi"")"),"Tạo một mô-đun nhận dạng giọng nói để thay thế Google STT bằng AmiVoice. Bao gồm hỗ trợ từ điển và thực thể.")</f>
        <v>Tạo một mô-đun nhận dạng giọng nói để thay thế Google STT bằng AmiVoice. Bao gồm hỗ trợ từ điển và thực thể.</v>
      </c>
      <c r="H2" s="47" t="s">
        <v>108</v>
      </c>
      <c r="I2" s="47" t="s">
        <v>109</v>
      </c>
      <c r="J2" s="61" t="s">
        <v>110</v>
      </c>
      <c r="K2" s="115"/>
      <c r="L2" s="49" t="s">
        <v>228</v>
      </c>
      <c r="M2" s="116"/>
      <c r="N2" s="50">
        <v>45874.0</v>
      </c>
      <c r="O2" s="50">
        <v>45874.0</v>
      </c>
      <c r="P2" s="62"/>
      <c r="Q2" s="62"/>
      <c r="R2" s="51"/>
      <c r="S2" s="47" t="s">
        <v>112</v>
      </c>
    </row>
    <row r="3" ht="43.5" customHeight="1">
      <c r="A3" s="46" t="s">
        <v>104</v>
      </c>
      <c r="B3" s="46" t="s">
        <v>105</v>
      </c>
      <c r="C3" s="13" t="str">
        <f>IFERROR(__xludf.DUMMYFUNCTION("GOOGLETRANSLATE(B3,""ja"",""vi"")"),"Phát triển mô-đun")</f>
        <v>Phát triển mô-đun</v>
      </c>
      <c r="D3" s="13" t="s">
        <v>113</v>
      </c>
      <c r="E3" s="13" t="str">
        <f>IFERROR(__xludf.DUMMYFUNCTION("GOOGLETRANSLATE(D3,""ja"",""vi"")"),"Phát triển mới một mô-đun nhận dạng giọng nói để nhận diện tên trong AmiVoice.")</f>
        <v>Phát triển mới một mô-đun nhận dạng giọng nói để nhận diện tên trong AmiVoice.</v>
      </c>
      <c r="F3" s="13"/>
      <c r="G3" s="13"/>
      <c r="H3" s="47" t="s">
        <v>108</v>
      </c>
      <c r="I3" s="47" t="s">
        <v>109</v>
      </c>
      <c r="J3" s="47" t="s">
        <v>115</v>
      </c>
      <c r="K3" s="117"/>
      <c r="L3" s="49" t="s">
        <v>228</v>
      </c>
      <c r="M3" s="116"/>
      <c r="N3" s="50">
        <v>45874.0</v>
      </c>
      <c r="O3" s="50">
        <v>45874.0</v>
      </c>
      <c r="P3" s="62"/>
      <c r="Q3" s="62"/>
      <c r="R3" s="51"/>
      <c r="S3" s="51"/>
    </row>
    <row r="4" ht="43.5" hidden="1" customHeight="1">
      <c r="A4" s="46" t="s">
        <v>471</v>
      </c>
      <c r="B4" s="46" t="s">
        <v>472</v>
      </c>
      <c r="C4" s="13" t="str">
        <f>IFERROR(__xludf.DUMMYFUNCTION("GOOGLETRANSLATE(B4,""ja"",""vi"")"),"Nhận dạng giọng nói")</f>
        <v>Nhận dạng giọng nói</v>
      </c>
      <c r="D4" s="13" t="s">
        <v>473</v>
      </c>
      <c r="E4" s="13" t="str">
        <f>IFERROR(__xludf.DUMMYFUNCTION("GOOGLETRANSLATE(D4,""ja"",""vi"")"),"Xác minh độ chính xác của nhận dạng giọng nói thành văn bản")</f>
        <v>Xác minh độ chính xác của nhận dạng giọng nói thành văn bản</v>
      </c>
      <c r="F4" s="13" t="s">
        <v>474</v>
      </c>
      <c r="G4" s="13" t="str">
        <f>IFERROR(__xludf.DUMMYFUNCTION("GOOGLETRANSLATE(F4,""ja"",""vi"")"),"Kiểm tra độ chính xác nhận dạng tên và chuyên khoa y tế bằng Google STT/AmiVoice. Kiểm tra tỷ lệ lỗi chuyển đổi.")</f>
        <v>Kiểm tra độ chính xác nhận dạng tên và chuyên khoa y tế bằng Google STT/AmiVoice. Kiểm tra tỷ lệ lỗi chuyển đổi.</v>
      </c>
      <c r="H4" s="47" t="s">
        <v>475</v>
      </c>
      <c r="I4" s="117"/>
      <c r="J4" s="117"/>
      <c r="K4" s="117"/>
      <c r="L4" s="49" t="s">
        <v>228</v>
      </c>
      <c r="M4" s="116"/>
      <c r="N4" s="50">
        <v>45874.0</v>
      </c>
      <c r="O4" s="50">
        <v>45877.0</v>
      </c>
      <c r="P4" s="62"/>
      <c r="Q4" s="62"/>
      <c r="R4" s="51"/>
      <c r="S4" s="51"/>
    </row>
    <row r="5" ht="43.5" customHeight="1">
      <c r="A5" s="46" t="s">
        <v>104</v>
      </c>
      <c r="B5" s="46" t="s">
        <v>105</v>
      </c>
      <c r="C5" s="13" t="str">
        <f>IFERROR(__xludf.DUMMYFUNCTION("GOOGLETRANSLATE(B5,""ja"",""vi"")"),"Phát triển mô-đun")</f>
        <v>Phát triển mô-đun</v>
      </c>
      <c r="D5" s="13" t="s">
        <v>116</v>
      </c>
      <c r="E5" s="13" t="str">
        <f>IFERROR(__xludf.DUMMYFUNCTION("GOOGLETRANSLATE(D5,""ja"",""vi"")"),"Phát triển mô-đun tích hợp OpenAI")</f>
        <v>Phát triển mô-đun tích hợp OpenAI</v>
      </c>
      <c r="F5" s="13" t="s">
        <v>476</v>
      </c>
      <c r="G5" s="13" t="str">
        <f>IFERROR(__xludf.DUMMYFUNCTION("GOOGLETRANSLATE(F5,""ja"",""vi"")"),"Quá trình tích hợp API của OpenAI để tạo văn bản phản hồi (thu thập phản hồi + xử lý TTS, v.v.).")</f>
        <v>Quá trình tích hợp API của OpenAI để tạo văn bản phản hồi (thu thập phản hồi + xử lý TTS, v.v.).</v>
      </c>
      <c r="H5" s="118" t="s">
        <v>118</v>
      </c>
      <c r="I5" s="47" t="s">
        <v>131</v>
      </c>
      <c r="J5" s="48" t="s">
        <v>120</v>
      </c>
      <c r="K5" s="119">
        <v>3.0</v>
      </c>
      <c r="L5" s="49" t="s">
        <v>228</v>
      </c>
      <c r="M5" s="116"/>
      <c r="N5" s="50">
        <v>45875.0</v>
      </c>
      <c r="O5" s="62"/>
      <c r="P5" s="62"/>
      <c r="Q5" s="62"/>
      <c r="R5" s="51"/>
      <c r="S5" s="51"/>
    </row>
    <row r="6" ht="43.5" customHeight="1">
      <c r="A6" s="46" t="s">
        <v>104</v>
      </c>
      <c r="B6" s="46" t="s">
        <v>105</v>
      </c>
      <c r="C6" s="13" t="str">
        <f>IFERROR(__xludf.DUMMYFUNCTION("GOOGLETRANSLATE(B6,""ja"",""vi"")"),"Phát triển mô-đun")</f>
        <v>Phát triển mô-đun</v>
      </c>
      <c r="D6" s="13" t="s">
        <v>123</v>
      </c>
      <c r="E6" s="13" t="str">
        <f>IFERROR(__xludf.DUMMYFUNCTION("GOOGLETRANSLATE(D6,""ja"",""vi"")"),"Mô-đun viết/đọc cơ sở dữ liệu")</f>
        <v>Mô-đun viết/đọc cơ sở dữ liệu</v>
      </c>
      <c r="F6" s="13" t="s">
        <v>124</v>
      </c>
      <c r="G6" s="13" t="str">
        <f>IFERROR(__xludf.DUMMYFUNCTION("GOOGLETRANSLATE(F6,""ja"",""vi"")"),"Một mô-đun dùng để lưu nội dung giọng nói và kết quả nhận dạng vào cơ sở dữ liệu và tái sử dụng chúng trong các quá trình xử lý tiếp theo.")</f>
        <v>Một mô-đun dùng để lưu nội dung giọng nói và kết quả nhận dạng vào cơ sở dữ liệu và tái sử dụng chúng trong các quá trình xử lý tiếp theo.</v>
      </c>
      <c r="H6" s="47" t="s">
        <v>108</v>
      </c>
      <c r="I6" s="47" t="s">
        <v>109</v>
      </c>
      <c r="J6" s="48" t="s">
        <v>126</v>
      </c>
      <c r="K6" s="120"/>
      <c r="L6" s="49" t="s">
        <v>228</v>
      </c>
      <c r="M6" s="116"/>
      <c r="N6" s="121"/>
      <c r="O6" s="121"/>
      <c r="P6" s="62"/>
      <c r="Q6" s="62"/>
      <c r="R6" s="51"/>
      <c r="S6" s="51"/>
    </row>
    <row r="7" ht="43.5" hidden="1" customHeight="1">
      <c r="A7" s="122" t="s">
        <v>104</v>
      </c>
      <c r="B7" s="122" t="s">
        <v>105</v>
      </c>
      <c r="C7" s="13" t="str">
        <f>IFERROR(__xludf.DUMMYFUNCTION("GOOGLETRANSLATE(B7,""ja"",""vi"")"),"Phát triển mô-đun")</f>
        <v>Phát triển mô-đun</v>
      </c>
      <c r="D7" s="123" t="s">
        <v>477</v>
      </c>
      <c r="E7" s="13" t="str">
        <f>IFERROR(__xludf.DUMMYFUNCTION("GOOGLETRANSLATE(D7,""ja"",""vi"")"),"Mô-đun TTS động tương thích SSML")</f>
        <v>Mô-đun TTS động tương thích SSML</v>
      </c>
      <c r="F7" s="123" t="s">
        <v>478</v>
      </c>
      <c r="G7" s="13"/>
      <c r="H7" s="124"/>
      <c r="I7" s="125"/>
      <c r="J7" s="125"/>
      <c r="K7" s="125"/>
      <c r="L7" s="126" t="s">
        <v>203</v>
      </c>
      <c r="M7" s="127"/>
      <c r="N7" s="62"/>
      <c r="O7" s="62"/>
      <c r="P7" s="121"/>
      <c r="Q7" s="121"/>
      <c r="R7" s="124"/>
      <c r="S7" s="47" t="s">
        <v>118</v>
      </c>
      <c r="T7" s="128"/>
      <c r="U7" s="128"/>
      <c r="V7" s="128"/>
      <c r="W7" s="128"/>
      <c r="X7" s="128"/>
      <c r="Y7" s="128"/>
      <c r="Z7" s="128"/>
      <c r="AA7" s="128"/>
      <c r="AB7" s="128"/>
      <c r="AC7" s="128"/>
      <c r="AD7" s="128"/>
      <c r="AE7" s="128"/>
      <c r="AF7" s="128"/>
      <c r="AG7" s="128"/>
      <c r="AH7" s="128"/>
      <c r="AI7" s="128"/>
      <c r="AJ7" s="128"/>
    </row>
    <row r="8" ht="43.5" hidden="1" customHeight="1">
      <c r="A8" s="46" t="s">
        <v>471</v>
      </c>
      <c r="B8" s="46" t="s">
        <v>479</v>
      </c>
      <c r="C8" s="13" t="str">
        <f>IFERROR(__xludf.DUMMYFUNCTION("GOOGLETRANSLATE(B8,""ja"",""vi"")"),"Chất lượng phản hồi")</f>
        <v>Chất lượng phản hồi</v>
      </c>
      <c r="D8" s="13" t="s">
        <v>480</v>
      </c>
      <c r="E8" s="13" t="str">
        <f>IFERROR(__xludf.DUMMYFUNCTION("GOOGLETRANSLATE(D8,""ja"",""vi"")"),"Kiểm tra độ tự nhiên/độ trễ phản hồi TTS")</f>
        <v>Kiểm tra độ tự nhiên/độ trễ phản hồi TTS</v>
      </c>
      <c r="F8" s="13" t="s">
        <v>481</v>
      </c>
      <c r="G8" s="13" t="str">
        <f>IFERROR(__xludf.DUMMYFUNCTION("GOOGLETRANSLATE(F8,""ja"",""vi"")"),"Kiểm thử trải nghiệm người dùng bao gồm tốc độ, độ tự nhiên, chất lượng âm thanh và thời gian phát ra tiếng bíp trong giọng nói tổng hợp.")</f>
        <v>Kiểm thử trải nghiệm người dùng bao gồm tốc độ, độ tự nhiên, chất lượng âm thanh và thời gian phát ra tiếng bíp trong giọng nói tổng hợp.</v>
      </c>
      <c r="H8" s="51"/>
      <c r="I8" s="117"/>
      <c r="J8" s="117"/>
      <c r="K8" s="117"/>
      <c r="L8" s="49" t="s">
        <v>228</v>
      </c>
      <c r="M8" s="116"/>
      <c r="N8" s="121"/>
      <c r="O8" s="121"/>
      <c r="P8" s="62"/>
      <c r="Q8" s="62"/>
      <c r="R8" s="51"/>
      <c r="S8" s="51"/>
    </row>
    <row r="9" ht="43.5" hidden="1" customHeight="1">
      <c r="A9" s="122" t="s">
        <v>104</v>
      </c>
      <c r="B9" s="122" t="s">
        <v>105</v>
      </c>
      <c r="C9" s="13" t="str">
        <f>IFERROR(__xludf.DUMMYFUNCTION("GOOGLETRANSLATE(B9,""ja"",""vi"")"),"Phát triển mô-đun")</f>
        <v>Phát triển mô-đun</v>
      </c>
      <c r="D9" s="123" t="s">
        <v>482</v>
      </c>
      <c r="E9" s="13" t="str">
        <f>IFERROR(__xludf.DUMMYFUNCTION("GOOGLETRANSLATE(D9,""ja"",""vi"")"),"Lưu trữ bản ghi trung gian cho quá trình xử lý nhận dạng giọng nói")</f>
        <v>Lưu trữ bản ghi trung gian cho quá trình xử lý nhận dạng giọng nói</v>
      </c>
      <c r="F9" s="123" t="s">
        <v>483</v>
      </c>
      <c r="G9" s="13"/>
      <c r="H9" s="51"/>
      <c r="I9" s="117"/>
      <c r="J9" s="117"/>
      <c r="K9" s="117"/>
      <c r="L9" s="126" t="s">
        <v>203</v>
      </c>
      <c r="M9" s="116"/>
      <c r="N9" s="62"/>
      <c r="O9" s="62"/>
      <c r="P9" s="62"/>
      <c r="Q9" s="62"/>
      <c r="R9" s="51"/>
      <c r="S9" s="51"/>
    </row>
    <row r="10" ht="43.5" hidden="1" customHeight="1">
      <c r="A10" s="122" t="s">
        <v>104</v>
      </c>
      <c r="B10" s="122" t="s">
        <v>484</v>
      </c>
      <c r="C10" s="13" t="str">
        <f>IFERROR(__xludf.DUMMYFUNCTION("GOOGLETRANSLATE(B10,""ja"",""vi"")"),"Triển khai kịch bản")</f>
        <v>Triển khai kịch bản</v>
      </c>
      <c r="D10" s="123" t="s">
        <v>485</v>
      </c>
      <c r="E10" s="13" t="str">
        <f>IFERROR(__xludf.DUMMYFUNCTION("GOOGLETRANSLATE(D10,""ja"",""vi"")"),"Phân nhánh xử lý thực thể cho tên, khoa y tế, v.v.")</f>
        <v>Phân nhánh xử lý thực thể cho tên, khoa y tế, v.v.</v>
      </c>
      <c r="F10" s="123" t="s">
        <v>486</v>
      </c>
      <c r="G10" s="13"/>
      <c r="H10" s="124"/>
      <c r="I10" s="125"/>
      <c r="J10" s="125"/>
      <c r="K10" s="125"/>
      <c r="L10" s="126" t="s">
        <v>203</v>
      </c>
      <c r="M10" s="127"/>
      <c r="N10" s="50">
        <v>45915.0</v>
      </c>
      <c r="O10" s="62"/>
      <c r="P10" s="121"/>
      <c r="Q10" s="121"/>
      <c r="R10" s="124"/>
      <c r="S10" s="124"/>
      <c r="T10" s="128"/>
      <c r="U10" s="128"/>
      <c r="V10" s="128"/>
      <c r="W10" s="128"/>
      <c r="X10" s="128"/>
      <c r="Y10" s="128"/>
      <c r="Z10" s="128"/>
      <c r="AA10" s="128"/>
      <c r="AB10" s="128"/>
      <c r="AC10" s="128"/>
      <c r="AD10" s="128"/>
      <c r="AE10" s="128"/>
      <c r="AF10" s="128"/>
      <c r="AG10" s="128"/>
      <c r="AH10" s="128"/>
      <c r="AI10" s="128"/>
      <c r="AJ10" s="128"/>
    </row>
    <row r="11" ht="43.5" hidden="1" customHeight="1">
      <c r="A11" s="46" t="s">
        <v>471</v>
      </c>
      <c r="B11" s="46" t="s">
        <v>487</v>
      </c>
      <c r="C11" s="13" t="str">
        <f>IFERROR(__xludf.DUMMYFUNCTION("GOOGLETRANSLATE(B11,""ja"",""vi"")"),"thực thể")</f>
        <v>thực thể</v>
      </c>
      <c r="D11" s="13" t="s">
        <v>488</v>
      </c>
      <c r="E11" s="13" t="str">
        <f>IFERROR(__xludf.DUMMYFUNCTION("GOOGLETRANSLATE(D11,""ja"",""vi"")"),"Kiểm tra phân loại thông thường của các phát ngôn sai")</f>
        <v>Kiểm tra phân loại thông thường của các phát ngôn sai</v>
      </c>
      <c r="F11" s="13" t="s">
        <v>489</v>
      </c>
      <c r="G11" s="13" t="str">
        <f>IFERROR(__xludf.DUMMYFUNCTION("GOOGLETRANSLATE(F11,""ja"",""vi"")"),"Chúng tôi sẽ kiểm tra xem liệu có thể chuyển đổi các lỗi dịch sai như ""something"" thành ""internal medicine"" sang các danh mục chính xác hay không.")</f>
        <v>Chúng tôi sẽ kiểm tra xem liệu có thể chuyển đổi các lỗi dịch sai như "something" thành "internal medicine" sang các danh mục chính xác hay không.</v>
      </c>
      <c r="H11" s="51"/>
      <c r="I11" s="117"/>
      <c r="J11" s="117"/>
      <c r="K11" s="117"/>
      <c r="L11" s="49" t="s">
        <v>228</v>
      </c>
      <c r="M11" s="116"/>
      <c r="N11" s="50">
        <v>45875.0</v>
      </c>
      <c r="O11" s="50">
        <v>45877.0</v>
      </c>
      <c r="P11" s="62"/>
      <c r="Q11" s="62"/>
      <c r="R11" s="51"/>
      <c r="S11" s="51"/>
    </row>
    <row r="12" ht="43.5" customHeight="1">
      <c r="A12" s="46" t="s">
        <v>104</v>
      </c>
      <c r="B12" s="46" t="s">
        <v>128</v>
      </c>
      <c r="C12" s="13" t="str">
        <f>IFERROR(__xludf.DUMMYFUNCTION("GOOGLETRANSLATE(B12,""ja"",""vi"")"),"Xây dựng cơ sở hạ tầng")</f>
        <v>Xây dựng cơ sở hạ tầng</v>
      </c>
      <c r="D12" s="13" t="s">
        <v>129</v>
      </c>
      <c r="E12" s="13" t="str">
        <f>IFERROR(__xludf.DUMMYFUNCTION("GOOGLETRANSLATE(D12,""ja"",""vi"")"),"Cài đặt hệ thống PBX trên cơ sở hạ tầng ảo")</f>
        <v>Cài đặt hệ thống PBX trên cơ sở hạ tầng ảo</v>
      </c>
      <c r="F12" s="13" t="s">
        <v>130</v>
      </c>
      <c r="G12" s="13" t="str">
        <f>IFERROR(__xludf.DUMMYFUNCTION("GOOGLETRANSLATE(F12,""ja"",""vi"")"),"Thiết lập một máy chủ riêng biệt trong OCI. Tách vùng (máy chủ ở một rack khác).")</f>
        <v>Thiết lập một máy chủ riêng biệt trong OCI. Tách vùng (máy chủ ở một rack khác).</v>
      </c>
      <c r="H12" s="47" t="s">
        <v>108</v>
      </c>
      <c r="I12" s="47" t="s">
        <v>131</v>
      </c>
      <c r="J12" s="61" t="s">
        <v>132</v>
      </c>
      <c r="K12" s="115"/>
      <c r="L12" s="49" t="s">
        <v>228</v>
      </c>
      <c r="M12" s="116"/>
      <c r="N12" s="60">
        <v>45875.0</v>
      </c>
      <c r="O12" s="60">
        <v>45877.0</v>
      </c>
      <c r="P12" s="62"/>
      <c r="Q12" s="62"/>
      <c r="R12" s="51"/>
      <c r="S12" s="51"/>
    </row>
    <row r="13" ht="43.5" customHeight="1">
      <c r="A13" s="46" t="s">
        <v>104</v>
      </c>
      <c r="B13" s="46" t="s">
        <v>134</v>
      </c>
      <c r="C13" s="13" t="str">
        <f>IFERROR(__xludf.DUMMYFUNCTION("GOOGLETRANSLATE(B13,""ja"",""vi"")"),"Thiết kế dự phòng")</f>
        <v>Thiết kế dự phòng</v>
      </c>
      <c r="D13" s="13" t="s">
        <v>135</v>
      </c>
      <c r="E13" s="13" t="str">
        <f>IFERROR(__xludf.DUMMYFUNCTION("GOOGLETRANSLATE(D13,""ja"",""vi"")"),"Cấu hình dự phòng API OpenAI")</f>
        <v>Cấu hình dự phòng API OpenAI</v>
      </c>
      <c r="F13" s="13" t="s">
        <v>136</v>
      </c>
      <c r="G13" s="13" t="str">
        <f>IFERROR(__xludf.DUMMYFUNCTION("GOOGLETRANSLATE(F13,""ja"",""vi"")"),"Thiết kế mô-đun dự phòng tự động chuyển sang Azure hoặc AI cục bộ nếu OpenAI gặp sự cố.")</f>
        <v>Thiết kế mô-đun dự phòng tự động chuyển sang Azure hoặc AI cục bộ nếu OpenAI gặp sự cố.</v>
      </c>
      <c r="H13" s="118" t="s">
        <v>118</v>
      </c>
      <c r="I13" s="47" t="s">
        <v>119</v>
      </c>
      <c r="J13" s="61" t="s">
        <v>137</v>
      </c>
      <c r="K13" s="115"/>
      <c r="L13" s="49" t="s">
        <v>228</v>
      </c>
      <c r="M13" s="116"/>
      <c r="N13" s="70"/>
      <c r="O13" s="70"/>
      <c r="P13" s="62"/>
      <c r="Q13" s="62"/>
      <c r="R13" s="51"/>
      <c r="S13" s="51"/>
    </row>
    <row r="14" ht="43.5" customHeight="1">
      <c r="A14" s="46" t="s">
        <v>490</v>
      </c>
      <c r="B14" s="46" t="s">
        <v>490</v>
      </c>
      <c r="C14" s="13" t="str">
        <f>IFERROR(__xludf.DUMMYFUNCTION("GOOGLETRANSLATE(B14,""ja"",""vi"")"),"triết lý thiết kế")</f>
        <v>triết lý thiết kế</v>
      </c>
      <c r="D14" s="13" t="s">
        <v>491</v>
      </c>
      <c r="E14" s="13" t="str">
        <f>IFERROR(__xludf.DUMMYFUNCTION("GOOGLETRANSLATE(D14,""ja"",""vi"")"),"Tổ chức các quy tắc cấu hình để sử dụng chung các mô-đun")</f>
        <v>Tổ chức các quy tắc cấu hình để sử dụng chung các mô-đun</v>
      </c>
      <c r="F14" s="13" t="s">
        <v>492</v>
      </c>
      <c r="G14" s="13" t="str">
        <f>IFERROR(__xludf.DUMMYFUNCTION("GOOGLETRANSLATE(F14,""ja"",""vi"")"),"Xây dựng các quy tắc và chính sách quản lý mô-đun chung và riêng cho từng người thuê.")</f>
        <v>Xây dựng các quy tắc và chính sách quản lý mô-đun chung và riêng cho từng người thuê.</v>
      </c>
      <c r="H14" s="47" t="s">
        <v>475</v>
      </c>
      <c r="I14" s="47" t="s">
        <v>109</v>
      </c>
      <c r="J14" s="117"/>
      <c r="K14" s="117"/>
      <c r="L14" s="49" t="s">
        <v>228</v>
      </c>
      <c r="M14" s="116"/>
      <c r="N14" s="60">
        <v>45880.0</v>
      </c>
      <c r="O14" s="60">
        <v>45882.0</v>
      </c>
      <c r="P14" s="62"/>
      <c r="Q14" s="62"/>
      <c r="R14" s="51"/>
      <c r="S14" s="51"/>
    </row>
    <row r="15" ht="43.5" hidden="1" customHeight="1">
      <c r="A15" s="46" t="s">
        <v>471</v>
      </c>
      <c r="B15" s="46" t="s">
        <v>493</v>
      </c>
      <c r="C15" s="13" t="str">
        <f>IFERROR(__xludf.DUMMYFUNCTION("GOOGLETRANSLATE(B15,""ja"",""vi"")"),"Xác minh dòng chảy")</f>
        <v>Xác minh dòng chảy</v>
      </c>
      <c r="D15" s="13" t="s">
        <v>494</v>
      </c>
      <c r="E15" s="13" t="str">
        <f>IFERROR(__xludf.DUMMYFUNCTION("GOOGLETRANSLATE(D15,""ja"",""vi"")"),"Xác minh hoạt động chi nhánh IVR")</f>
        <v>Xác minh hoạt động chi nhánh IVR</v>
      </c>
      <c r="F15" s="13" t="s">
        <v>495</v>
      </c>
      <c r="G15" s="13" t="str">
        <f>IFERROR(__xludf.DUMMYFUNCTION("GOOGLETRANSLATE(F15,""ja"",""vi"")"),"Kiểm tra xem các tuyến đường có được phân nhánh chính xác dựa trên thời gian trong ngày và lịch trình hay không.")</f>
        <v>Kiểm tra xem các tuyến đường có được phân nhánh chính xác dựa trên thời gian trong ngày và lịch trình hay không.</v>
      </c>
      <c r="H15" s="51"/>
      <c r="I15" s="117"/>
      <c r="J15" s="117"/>
      <c r="K15" s="117"/>
      <c r="L15" s="49" t="s">
        <v>228</v>
      </c>
      <c r="M15" s="116"/>
      <c r="N15" s="50">
        <v>45915.0</v>
      </c>
      <c r="O15" s="70"/>
      <c r="P15" s="62"/>
      <c r="Q15" s="62"/>
      <c r="R15" s="51"/>
      <c r="S15" s="51"/>
    </row>
    <row r="16" ht="43.5" hidden="1" customHeight="1">
      <c r="A16" s="46" t="s">
        <v>471</v>
      </c>
      <c r="B16" s="46" t="s">
        <v>496</v>
      </c>
      <c r="C16" s="13" t="str">
        <f>IFERROR(__xludf.DUMMYFUNCTION("GOOGLETRANSLATE(B16,""ja"",""vi"")"),"Ghi âm giọng nói")</f>
        <v>Ghi âm giọng nói</v>
      </c>
      <c r="D16" s="13" t="s">
        <v>497</v>
      </c>
      <c r="E16" s="13" t="str">
        <f>IFERROR(__xludf.DUMMYFUNCTION("GOOGLETRANSLATE(D16,""ja"",""vi"")"),"Xác nhận các tệp ghi âm cuộc gọi đã lưu")</f>
        <v>Xác nhận các tệp ghi âm cuộc gọi đã lưu</v>
      </c>
      <c r="F16" s="13" t="s">
        <v>498</v>
      </c>
      <c r="G16" s="13" t="str">
        <f>IFERROR(__xludf.DUMMYFUNCTION("GOOGLETRANSLATE(F16,""ja"",""vi"")"),"Tệp ghi âm đã được lưu đúng cách và có thể phát lại sau này chưa? Điều này bao gồm cả quy trình thiết lập cho người dùng thử tiện ích mở rộng.")</f>
        <v>Tệp ghi âm đã được lưu đúng cách và có thể phát lại sau này chưa? Điều này bao gồm cả quy trình thiết lập cho người dùng thử tiện ích mở rộng.</v>
      </c>
      <c r="H16" s="51"/>
      <c r="I16" s="117"/>
      <c r="J16" s="117"/>
      <c r="K16" s="117"/>
      <c r="L16" s="49" t="s">
        <v>228</v>
      </c>
      <c r="M16" s="116"/>
      <c r="N16" s="60">
        <v>45875.0</v>
      </c>
      <c r="O16" s="60">
        <v>45877.0</v>
      </c>
      <c r="P16" s="62"/>
      <c r="Q16" s="62"/>
      <c r="R16" s="51"/>
      <c r="S16" s="51"/>
    </row>
    <row r="17" ht="43.5" hidden="1" customHeight="1">
      <c r="A17" s="46" t="s">
        <v>471</v>
      </c>
      <c r="B17" s="46" t="s">
        <v>499</v>
      </c>
      <c r="C17" s="13" t="str">
        <f>IFERROR(__xludf.DUMMYFUNCTION("GOOGLETRANSLATE(B17,""ja"",""vi"")"),"OpenAI")</f>
        <v>OpenAI</v>
      </c>
      <c r="D17" s="13" t="s">
        <v>500</v>
      </c>
      <c r="E17" s="13" t="str">
        <f>IFERROR(__xludf.DUMMYFUNCTION("GOOGLETRANSLATE(D17,""ja"",""vi"")"),"Tốc độ phản hồi API và xử lý lỗi")</f>
        <v>Tốc độ phản hồi API và xử lý lỗi</v>
      </c>
      <c r="F17" s="13" t="s">
        <v>501</v>
      </c>
      <c r="G17" s="13" t="str">
        <f>IFERROR(__xludf.DUMMYFUNCTION("GOOGLETRANSLATE(F17,""ja"",""vi"")"),"Kiểm tra độ trễ phản hồi khi tải trọng cao và cơ chế chuyển đổi dự phòng trong trường hợp API gặp sự cố.")</f>
        <v>Kiểm tra độ trễ phản hồi khi tải trọng cao và cơ chế chuyển đổi dự phòng trong trường hợp API gặp sự cố.</v>
      </c>
      <c r="H17" s="51"/>
      <c r="I17" s="117"/>
      <c r="J17" s="117"/>
      <c r="K17" s="117"/>
      <c r="L17" s="49" t="s">
        <v>228</v>
      </c>
      <c r="M17" s="116"/>
      <c r="N17" s="70"/>
      <c r="O17" s="70"/>
      <c r="P17" s="62"/>
      <c r="Q17" s="62"/>
      <c r="R17" s="51"/>
      <c r="S17" s="51"/>
    </row>
    <row r="18" ht="43.5" hidden="1" customHeight="1">
      <c r="A18" s="46" t="s">
        <v>471</v>
      </c>
      <c r="B18" s="46" t="s">
        <v>502</v>
      </c>
      <c r="C18" s="13" t="str">
        <f>IFERROR(__xludf.DUMMYFUNCTION("GOOGLETRANSLATE(B18,""ja"",""vi"")"),"Tích hợp mô-đun")</f>
        <v>Tích hợp mô-đun</v>
      </c>
      <c r="D18" s="13" t="s">
        <v>503</v>
      </c>
      <c r="E18" s="13" t="str">
        <f>IFERROR(__xludf.DUMMYFUNCTION("GOOGLETRANSLATE(D18,""ja"",""vi"")"),"Kiểm thử tích hợp cơ sở dữ liệu, lưu trữ/phục hồi dữ liệu")</f>
        <v>Kiểm thử tích hợp cơ sở dữ liệu, lưu trữ/phục hồi dữ liệu</v>
      </c>
      <c r="F18" s="13" t="s">
        <v>504</v>
      </c>
      <c r="G18" s="13" t="str">
        <f>IFERROR(__xludf.DUMMYFUNCTION("GOOGLETRANSLATE(F18,""ja"",""vi"")"),"Liệu ý định phát ngôn được ghi lại trong cơ sở dữ liệu có thể được truy xuất chính xác tại một nút khác hay không?")</f>
        <v>Liệu ý định phát ngôn được ghi lại trong cơ sở dữ liệu có thể được truy xuất chính xác tại một nút khác hay không?</v>
      </c>
      <c r="H18" s="51"/>
      <c r="I18" s="117"/>
      <c r="J18" s="117"/>
      <c r="K18" s="117"/>
      <c r="L18" s="49" t="s">
        <v>228</v>
      </c>
      <c r="M18" s="116"/>
      <c r="N18" s="70"/>
      <c r="O18" s="70"/>
      <c r="P18" s="62"/>
      <c r="Q18" s="62"/>
      <c r="R18" s="51"/>
      <c r="S18" s="51"/>
    </row>
    <row r="19" ht="43.5" hidden="1" customHeight="1">
      <c r="A19" s="46" t="s">
        <v>471</v>
      </c>
      <c r="B19" s="46" t="s">
        <v>505</v>
      </c>
      <c r="C19" s="13" t="str">
        <f>IFERROR(__xludf.DUMMYFUNCTION("GOOGLETRANSLATE(B19,""ja"",""vi"")"),"Kiểm thử giao diện người dùng")</f>
        <v>Kiểm thử giao diện người dùng</v>
      </c>
      <c r="D19" s="13" t="s">
        <v>506</v>
      </c>
      <c r="E19" s="13" t="str">
        <f>IFERROR(__xludf.DUMMYFUNCTION("GOOGLETRANSLATE(D19,""ja"",""vi"")"),"Phản ánh những thay đổi đã được thực hiện trong Flow Designer")</f>
        <v>Phản ánh những thay đổi đã được thực hiện trong Flow Designer</v>
      </c>
      <c r="F19" s="13" t="s">
        <v>507</v>
      </c>
      <c r="G19" s="13" t="str">
        <f>IFERROR(__xludf.DUMMYFUNCTION("GOOGLETRANSLATE(F19,""ja"",""vi"")"),"Chức năng này kiểm tra độ trễ thời gian (khoảng 30 giây) sau khi chỉnh sửa và việc lưu giữ trạng thái đã lưu.")</f>
        <v>Chức năng này kiểm tra độ trễ thời gian (khoảng 30 giây) sau khi chỉnh sửa và việc lưu giữ trạng thái đã lưu.</v>
      </c>
      <c r="H19" s="51"/>
      <c r="I19" s="117"/>
      <c r="J19" s="117"/>
      <c r="K19" s="117"/>
      <c r="L19" s="49" t="s">
        <v>228</v>
      </c>
      <c r="M19" s="116"/>
      <c r="N19" s="70"/>
      <c r="O19" s="70"/>
      <c r="P19" s="62"/>
      <c r="Q19" s="62"/>
      <c r="R19" s="51"/>
      <c r="S19" s="51"/>
    </row>
    <row r="20" ht="22.5" hidden="1" customHeight="1">
      <c r="A20" s="46" t="s">
        <v>471</v>
      </c>
      <c r="B20" s="46" t="s">
        <v>508</v>
      </c>
      <c r="C20" s="13" t="str">
        <f>IFERROR(__xludf.DUMMYFUNCTION("GOOGLETRANSLATE(B20,""ja"",""vi"")"),"Kiểm thử vận ​​hành")</f>
        <v>Kiểm thử vận ​​hành</v>
      </c>
      <c r="D20" s="13" t="s">
        <v>509</v>
      </c>
      <c r="E20" s="13" t="str">
        <f>IFERROR(__xludf.DUMMYFUNCTION("GOOGLETRANSLATE(D20,""ja"",""vi"")"),"Kiểm tra các biện pháp để ngăn ngừa việc hiểu sai hướng dẫn/thời điểm bắt đầu cắt giảm.")</f>
        <v>Kiểm tra các biện pháp để ngăn ngừa việc hiểu sai hướng dẫn/thời điểm bắt đầu cắt giảm.</v>
      </c>
      <c r="F20" s="13" t="s">
        <v>510</v>
      </c>
      <c r="G20" s="13" t="str">
        <f>IFERROR(__xludf.DUMMYFUNCTION("GOOGLETRANSLATE(F20,""ja"",""vi"")"),"Kiểm tra xem âm thanh ban đầu có bị mất trong các cuộc gọi từ thiết bị di động hay không. Xác minh hiệu quả của cài đặt thời gian chờ.")</f>
        <v>Kiểm tra xem âm thanh ban đầu có bị mất trong các cuộc gọi từ thiết bị di động hay không. Xác minh hiệu quả của cài đặt thời gian chờ.</v>
      </c>
      <c r="H20" s="51"/>
      <c r="I20" s="117"/>
      <c r="J20" s="117"/>
      <c r="K20" s="117"/>
      <c r="L20" s="49" t="s">
        <v>228</v>
      </c>
      <c r="M20" s="116"/>
      <c r="N20" s="73"/>
      <c r="O20" s="73"/>
      <c r="P20" s="62"/>
      <c r="Q20" s="62"/>
      <c r="R20" s="51"/>
      <c r="S20" s="51"/>
    </row>
    <row r="21" ht="22.5" customHeight="1">
      <c r="A21" s="64" t="s">
        <v>104</v>
      </c>
      <c r="B21" s="64" t="s">
        <v>105</v>
      </c>
      <c r="C21" s="13" t="str">
        <f>IFERROR(__xludf.DUMMYFUNCTION("GOOGLETRANSLATE(B21,""ja"",""vi"")"),"Phát triển mô-đun")</f>
        <v>Phát triển mô-đun</v>
      </c>
      <c r="D21" s="52" t="s">
        <v>139</v>
      </c>
      <c r="E21" s="13" t="str">
        <f>IFERROR(__xludf.DUMMYFUNCTION("GOOGLETRANSLATE(D21,""ja"",""vi"")"),"Tích hợp API (truy cập vào màn hình ngày giờ tiếp nhận)")</f>
        <v>Tích hợp API (truy cập vào màn hình ngày giờ tiếp nhận)</v>
      </c>
      <c r="F21" s="52" t="s">
        <v>140</v>
      </c>
      <c r="G21" s="13" t="str">
        <f>IFERROR(__xludf.DUMMYFUNCTION("GOOGLETRANSLATE(F21,""ja"",""vi"")"),"Brekeke hỏi Tiến sĩ JOY liệu thời gian hiện tại có nằm trong giờ tiếp tân hay không, và sau đó sử dụng câu trả lời của Tiến sĩ JOY để xác định xem có hay không.")</f>
        <v>Brekeke hỏi Tiến sĩ JOY liệu thời gian hiện tại có nằm trong giờ tiếp tân hay không, và sau đó sử dụng câu trả lời của Tiến sĩ JOY để xác định xem có hay không.</v>
      </c>
      <c r="H21" s="118" t="s">
        <v>118</v>
      </c>
      <c r="I21" s="47" t="s">
        <v>131</v>
      </c>
      <c r="J21" s="61" t="s">
        <v>141</v>
      </c>
      <c r="K21" s="129">
        <v>2.0</v>
      </c>
      <c r="L21" s="49" t="s">
        <v>228</v>
      </c>
      <c r="M21" s="116"/>
      <c r="N21" s="73"/>
      <c r="O21" s="73"/>
      <c r="P21" s="62"/>
      <c r="Q21" s="62"/>
      <c r="R21" s="51"/>
      <c r="S21" s="51"/>
    </row>
    <row r="22" ht="22.5" customHeight="1">
      <c r="A22" s="64" t="s">
        <v>104</v>
      </c>
      <c r="B22" s="64" t="s">
        <v>105</v>
      </c>
      <c r="C22" s="13" t="str">
        <f>IFERROR(__xludf.DUMMYFUNCTION("GOOGLETRANSLATE(B22,""ja"",""vi"")"),"Phát triển mô-đun")</f>
        <v>Phát triển mô-đun</v>
      </c>
      <c r="D22" s="52" t="s">
        <v>143</v>
      </c>
      <c r="E22" s="13" t="str">
        <f>IFERROR(__xludf.DUMMYFUNCTION("GOOGLETRANSLATE(D22,""ja"",""vi"")"),"Tích hợp API (gửi kết quả cho Tiến sĩ JOY)")</f>
        <v>Tích hợp API (gửi kết quả cho Tiến sĩ JOY)</v>
      </c>
      <c r="F22" s="52" t="s">
        <v>144</v>
      </c>
      <c r="G22" s="13" t="str">
        <f>IFERROR(__xludf.DUMMYFUNCTION("GOOGLETRANSLATE(F22,""ja"",""vi"")"),"Brekeke sẽ gửi kết quả cho Tiến sĩ JOY cùng với mã số cuộc gọi.")</f>
        <v>Brekeke sẽ gửi kết quả cho Tiến sĩ JOY cùng với mã số cuộc gọi.</v>
      </c>
      <c r="H22" s="118" t="s">
        <v>118</v>
      </c>
      <c r="I22" s="47" t="s">
        <v>109</v>
      </c>
      <c r="J22" s="66" t="s">
        <v>145</v>
      </c>
      <c r="K22" s="86">
        <v>3.0</v>
      </c>
      <c r="L22" s="49" t="s">
        <v>228</v>
      </c>
      <c r="M22" s="79"/>
      <c r="N22" s="73"/>
      <c r="O22" s="73"/>
      <c r="P22" s="68"/>
      <c r="Q22" s="68"/>
      <c r="R22" s="68"/>
      <c r="S22" s="68"/>
    </row>
    <row r="23" ht="22.5" customHeight="1">
      <c r="A23" s="64" t="s">
        <v>104</v>
      </c>
      <c r="B23" s="52" t="s">
        <v>147</v>
      </c>
      <c r="C23" s="13" t="str">
        <f>IFERROR(__xludf.DUMMYFUNCTION("GOOGLETRANSLATE(B23,""ja"",""vi"")"),"Điều này cũng bao gồm việc nghiên cứu về những gì cần được phát triển.")</f>
        <v>Điều này cũng bao gồm việc nghiên cứu về những gì cần được phát triển.</v>
      </c>
      <c r="D23" s="52" t="s">
        <v>148</v>
      </c>
      <c r="E23" s="13" t="str">
        <f>IFERROR(__xludf.DUMMYFUNCTION("GOOGLETRANSLATE(D23,""ja"",""vi"")"),"Tích hợp API (gửi dữ liệu đã ghi lại cho Dr.JOY)")</f>
        <v>Tích hợp API (gửi dữ liệu đã ghi lại cho Dr.JOY)</v>
      </c>
      <c r="F23" s="52" t="s">
        <v>149</v>
      </c>
      <c r="G23" s="13" t="str">
        <f>IFERROR(__xludf.DUMMYFUNCTION("GOOGLETRANSLATE(F23,""ja"",""vi"")"),"Brekeke sẽ gửi dữ liệu thoại cho Tiến sĩ JOY cùng với mã số cuộc gọi này.")</f>
        <v>Brekeke sẽ gửi dữ liệu thoại cho Tiến sĩ JOY cùng với mã số cuộc gọi này.</v>
      </c>
      <c r="H23" s="118" t="s">
        <v>108</v>
      </c>
      <c r="I23" s="47" t="s">
        <v>109</v>
      </c>
      <c r="J23" s="66" t="s">
        <v>150</v>
      </c>
      <c r="K23" s="130"/>
      <c r="L23" s="49" t="s">
        <v>228</v>
      </c>
      <c r="M23" s="79"/>
      <c r="N23" s="73"/>
      <c r="O23" s="73"/>
      <c r="P23" s="68"/>
      <c r="Q23" s="68"/>
      <c r="R23" s="68"/>
      <c r="S23" s="68"/>
    </row>
    <row r="24" ht="22.5" customHeight="1">
      <c r="A24" s="64" t="s">
        <v>104</v>
      </c>
      <c r="B24" s="64" t="s">
        <v>105</v>
      </c>
      <c r="C24" s="13" t="str">
        <f>IFERROR(__xludf.DUMMYFUNCTION("GOOGLETRANSLATE(B24,""ja"",""vi"")"),"Phát triển mô-đun")</f>
        <v>Phát triển mô-đun</v>
      </c>
      <c r="D24" s="52" t="s">
        <v>511</v>
      </c>
      <c r="E24" s="13" t="str">
        <f>IFERROR(__xludf.DUMMYFUNCTION("GOOGLETRANSLATE(D24,""ja"",""vi"")"),"Tích hợp API (gọi OpenAI)")</f>
        <v>Tích hợp API (gọi OpenAI)</v>
      </c>
      <c r="F24" s="52" t="s">
        <v>153</v>
      </c>
      <c r="G24" s="13" t="str">
        <f>IFERROR(__xludf.DUMMYFUNCTION("GOOGLETRANSLATE(F24,""ja"",""vi"")"),"Tìm kiếm các câu hỏi thường gặp trên RAG
*Bác sĩ JOY sẽ thêm SSML khi trả lời.")</f>
        <v>Tìm kiếm các câu hỏi thường gặp trên RAG
*Bác sĩ JOY sẽ thêm SSML khi trả lời.</v>
      </c>
      <c r="H24" s="118" t="s">
        <v>118</v>
      </c>
      <c r="I24" s="47" t="s">
        <v>119</v>
      </c>
      <c r="J24" s="66" t="s">
        <v>154</v>
      </c>
      <c r="K24" s="86">
        <v>3.0</v>
      </c>
      <c r="L24" s="49" t="s">
        <v>228</v>
      </c>
      <c r="M24" s="79"/>
      <c r="N24" s="73"/>
      <c r="O24" s="73"/>
      <c r="P24" s="68"/>
      <c r="Q24" s="68"/>
      <c r="R24" s="68"/>
      <c r="S24" s="68"/>
    </row>
    <row r="25" ht="22.5" customHeight="1">
      <c r="A25" s="64" t="s">
        <v>104</v>
      </c>
      <c r="B25" s="64" t="s">
        <v>105</v>
      </c>
      <c r="C25" s="13" t="str">
        <f>IFERROR(__xludf.DUMMYFUNCTION("GOOGLETRANSLATE(B25,""ja"",""vi"")"),"Phát triển mô-đun")</f>
        <v>Phát triển mô-đun</v>
      </c>
      <c r="D25" s="52" t="s">
        <v>512</v>
      </c>
      <c r="E25" s="13" t="str">
        <f>IFERROR(__xludf.DUMMYFUNCTION("GOOGLETRANSLATE(D25,""ja"",""vi"")"),"Tích hợp API (Vui lòng xác nhận với Tiến sĩ JOY)")</f>
        <v>Tích hợp API (Vui lòng xác nhận với Tiến sĩ JOY)</v>
      </c>
      <c r="F25" s="52" t="s">
        <v>513</v>
      </c>
      <c r="G25" s="13" t="str">
        <f>IFERROR(__xludf.DUMMYFUNCTION("GOOGLETRANSLATE(F25,""ja"",""vi"")"),"Cài đặt đích chuyển tiếp của Tiến sĩ JOY")</f>
        <v>Cài đặt đích chuyển tiếp của Tiến sĩ JOY</v>
      </c>
      <c r="H25" s="118" t="s">
        <v>118</v>
      </c>
      <c r="I25" s="47" t="s">
        <v>119</v>
      </c>
      <c r="J25" s="66" t="s">
        <v>162</v>
      </c>
      <c r="K25" s="130"/>
      <c r="L25" s="49" t="s">
        <v>228</v>
      </c>
      <c r="M25" s="79"/>
      <c r="N25" s="73"/>
      <c r="O25" s="73"/>
      <c r="P25" s="68"/>
      <c r="Q25" s="68"/>
      <c r="R25" s="68"/>
      <c r="S25" s="68"/>
    </row>
    <row r="26" ht="22.5" customHeight="1">
      <c r="A26" s="64" t="s">
        <v>104</v>
      </c>
      <c r="B26" s="71" t="s">
        <v>164</v>
      </c>
      <c r="C26" s="13" t="str">
        <f>IFERROR(__xludf.DUMMYFUNCTION("GOOGLETRANSLATE(B26,""ja"",""vi"")"),"Tiến sĩ Joy")</f>
        <v>Tiến sĩ Joy</v>
      </c>
      <c r="D26" s="52" t="s">
        <v>165</v>
      </c>
      <c r="E26" s="13" t="str">
        <f>IFERROR(__xludf.DUMMYFUNCTION("GOOGLETRANSLATE(D26,""ja"",""vi"")"),"Thêm tab vào điện thoại AI")</f>
        <v>Thêm tab vào điện thoại AI</v>
      </c>
      <c r="F26" s="52" t="s">
        <v>514</v>
      </c>
      <c r="G26" s="13" t="str">
        <f>IFERROR(__xludf.DUMMYFUNCTION("GOOGLETRANSLATE(F26,""ja"",""vi"")"),"Tạo tài khoản mới: Commubo, Dr.JOY và Brekeke.
Chỉ cần điền tên kịch bản và số điện thoại.")</f>
        <v>Tạo tài khoản mới: Commubo, Dr.JOY và Brekeke.
Chỉ cần điền tên kịch bản và số điện thoại.</v>
      </c>
      <c r="H26" s="118" t="s">
        <v>118</v>
      </c>
      <c r="I26" s="47" t="s">
        <v>109</v>
      </c>
      <c r="J26" s="66" t="s">
        <v>167</v>
      </c>
      <c r="K26" s="86">
        <v>2.0</v>
      </c>
      <c r="L26" s="49" t="s">
        <v>228</v>
      </c>
      <c r="M26" s="79"/>
      <c r="N26" s="73"/>
      <c r="O26" s="73"/>
      <c r="P26" s="68"/>
      <c r="Q26" s="68"/>
      <c r="R26" s="68"/>
      <c r="S26" s="68"/>
    </row>
    <row r="27">
      <c r="A27" s="1"/>
      <c r="B27" s="1"/>
      <c r="C27" s="1"/>
      <c r="D27" s="9"/>
      <c r="E27" s="9"/>
      <c r="F27" s="9"/>
      <c r="G27" s="9"/>
    </row>
    <row r="28">
      <c r="A28" s="1" t="s">
        <v>499</v>
      </c>
      <c r="D28" s="9"/>
      <c r="E28" s="9"/>
      <c r="F28" s="9"/>
      <c r="G28" s="9"/>
    </row>
    <row r="29">
      <c r="A29" s="131" t="s">
        <v>515</v>
      </c>
      <c r="D29" s="9"/>
      <c r="F29" s="132" t="s">
        <v>516</v>
      </c>
      <c r="G29" s="9"/>
    </row>
    <row r="30">
      <c r="A30" s="1" t="s">
        <v>517</v>
      </c>
      <c r="D30" s="9"/>
      <c r="E30" s="9"/>
      <c r="F30" s="133" t="s">
        <v>516</v>
      </c>
      <c r="G30" s="133"/>
    </row>
    <row r="31">
      <c r="A31" s="1"/>
      <c r="B31" s="1" t="s">
        <v>518</v>
      </c>
      <c r="D31" s="9"/>
      <c r="E31" s="9"/>
      <c r="F31" s="133"/>
      <c r="G31" s="133" t="s">
        <v>519</v>
      </c>
    </row>
    <row r="32">
      <c r="A32" s="1"/>
      <c r="B32" s="1" t="s">
        <v>520</v>
      </c>
      <c r="D32" s="9"/>
      <c r="E32" s="9"/>
      <c r="F32" s="133"/>
      <c r="G32" s="133" t="s">
        <v>521</v>
      </c>
      <c r="H32" s="1" t="s">
        <v>522</v>
      </c>
    </row>
    <row r="33">
      <c r="A33" s="1"/>
      <c r="D33" s="9"/>
      <c r="E33" s="9"/>
      <c r="F33" s="133"/>
      <c r="G33" s="9"/>
    </row>
    <row r="34">
      <c r="A34" s="1" t="s">
        <v>523</v>
      </c>
      <c r="D34" s="9"/>
      <c r="E34" s="9"/>
      <c r="F34" s="9"/>
      <c r="G34" s="9"/>
    </row>
    <row r="35">
      <c r="A35" s="1" t="s">
        <v>524</v>
      </c>
      <c r="D35" s="9"/>
      <c r="E35" s="9"/>
      <c r="F35" s="133" t="s">
        <v>516</v>
      </c>
      <c r="G35" s="133" t="s">
        <v>519</v>
      </c>
    </row>
    <row r="36">
      <c r="D36" s="9"/>
      <c r="E36" s="9"/>
      <c r="F36" s="9"/>
      <c r="G36" s="9"/>
    </row>
    <row r="37">
      <c r="A37" s="1" t="s">
        <v>156</v>
      </c>
      <c r="D37" s="9"/>
      <c r="E37" s="9"/>
      <c r="F37" s="9"/>
      <c r="G37" s="9"/>
    </row>
    <row r="38">
      <c r="A38" s="1" t="s">
        <v>525</v>
      </c>
      <c r="D38" s="9"/>
      <c r="F38" s="133" t="s">
        <v>526</v>
      </c>
      <c r="G38" s="133" t="s">
        <v>519</v>
      </c>
    </row>
    <row r="39">
      <c r="A39" s="1"/>
      <c r="B39" s="1" t="s">
        <v>527</v>
      </c>
      <c r="D39" s="9"/>
      <c r="F39" s="133"/>
      <c r="G39" s="133"/>
    </row>
    <row r="40">
      <c r="A40" s="1" t="s">
        <v>528</v>
      </c>
      <c r="D40" s="9"/>
      <c r="E40" s="9"/>
      <c r="F40" s="133" t="s">
        <v>526</v>
      </c>
      <c r="G40" s="133" t="s">
        <v>529</v>
      </c>
      <c r="H40" s="1" t="s">
        <v>530</v>
      </c>
    </row>
    <row r="41">
      <c r="A41" s="1" t="s">
        <v>531</v>
      </c>
      <c r="D41" s="9"/>
      <c r="E41" s="9"/>
      <c r="F41" s="133" t="s">
        <v>526</v>
      </c>
      <c r="G41" s="133" t="s">
        <v>521</v>
      </c>
      <c r="H41" s="1" t="s">
        <v>530</v>
      </c>
    </row>
    <row r="42">
      <c r="A42" s="1" t="s">
        <v>532</v>
      </c>
      <c r="D42" s="9"/>
      <c r="E42" s="9"/>
      <c r="F42" s="133" t="s">
        <v>526</v>
      </c>
      <c r="G42" s="133" t="s">
        <v>519</v>
      </c>
    </row>
    <row r="43">
      <c r="A43" s="1" t="s">
        <v>533</v>
      </c>
      <c r="D43" s="9"/>
      <c r="E43" s="9"/>
      <c r="F43" s="133" t="s">
        <v>534</v>
      </c>
      <c r="G43" s="9"/>
    </row>
    <row r="44">
      <c r="D44" s="9"/>
      <c r="E44" s="9"/>
      <c r="F44" s="9"/>
      <c r="G44" s="9"/>
    </row>
    <row r="45">
      <c r="D45" s="9"/>
      <c r="E45" s="9"/>
      <c r="F45" s="9"/>
      <c r="G45" s="9"/>
    </row>
    <row r="46">
      <c r="A46" s="134" t="s">
        <v>535</v>
      </c>
      <c r="B46" s="135"/>
      <c r="C46" s="135"/>
      <c r="D46" s="136"/>
      <c r="E46" s="136"/>
      <c r="F46" s="136"/>
      <c r="G46" s="136"/>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row>
    <row r="47">
      <c r="A47" s="134" t="s">
        <v>536</v>
      </c>
      <c r="B47" s="135"/>
      <c r="C47" s="135"/>
      <c r="D47" s="136"/>
      <c r="E47" s="136"/>
      <c r="F47" s="136"/>
      <c r="G47" s="136"/>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row>
    <row r="48">
      <c r="A48" s="134" t="s">
        <v>537</v>
      </c>
      <c r="B48" s="135"/>
      <c r="C48" s="135"/>
      <c r="D48" s="136"/>
      <c r="E48" s="136"/>
      <c r="F48" s="136"/>
      <c r="G48" s="136"/>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row>
    <row r="49">
      <c r="A49" s="135"/>
      <c r="B49" s="135"/>
      <c r="C49" s="135"/>
      <c r="D49" s="136"/>
      <c r="E49" s="136"/>
      <c r="F49" s="136"/>
      <c r="G49" s="136"/>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row>
    <row r="50">
      <c r="A50" s="134" t="s">
        <v>538</v>
      </c>
      <c r="B50" s="135"/>
      <c r="C50" s="135"/>
      <c r="D50" s="136"/>
      <c r="E50" s="136"/>
      <c r="F50" s="136"/>
      <c r="G50" s="136"/>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row>
    <row r="51">
      <c r="A51" s="134" t="s">
        <v>539</v>
      </c>
      <c r="B51" s="135"/>
      <c r="C51" s="135"/>
      <c r="D51" s="136"/>
      <c r="E51" s="136"/>
      <c r="F51" s="136"/>
      <c r="G51" s="136"/>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row>
    <row r="52">
      <c r="A52" s="135"/>
      <c r="B52" s="135"/>
      <c r="C52" s="135"/>
      <c r="D52" s="136"/>
      <c r="E52" s="136"/>
      <c r="F52" s="136"/>
      <c r="G52" s="136"/>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row>
    <row r="53">
      <c r="A53" s="134" t="s">
        <v>540</v>
      </c>
      <c r="B53" s="135"/>
      <c r="C53" s="135"/>
      <c r="D53" s="136"/>
      <c r="E53" s="136"/>
      <c r="F53" s="136"/>
      <c r="G53" s="136"/>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row>
    <row r="54">
      <c r="A54" s="134" t="s">
        <v>541</v>
      </c>
      <c r="B54" s="135"/>
      <c r="C54" s="135"/>
      <c r="D54" s="136"/>
      <c r="E54" s="136"/>
      <c r="F54" s="136"/>
      <c r="G54" s="136"/>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row>
    <row r="55">
      <c r="D55" s="9"/>
      <c r="E55" s="9"/>
      <c r="F55" s="9"/>
      <c r="G55" s="9"/>
    </row>
    <row r="56">
      <c r="D56" s="9"/>
      <c r="E56" s="9"/>
      <c r="F56" s="9"/>
      <c r="G56" s="9"/>
    </row>
    <row r="57">
      <c r="D57" s="9"/>
      <c r="E57" s="9"/>
      <c r="F57" s="9"/>
      <c r="G57" s="9"/>
    </row>
    <row r="58">
      <c r="D58" s="9"/>
      <c r="E58" s="9"/>
      <c r="F58" s="9"/>
      <c r="G58" s="9"/>
    </row>
    <row r="59">
      <c r="D59" s="9"/>
      <c r="E59" s="9"/>
      <c r="F59" s="9"/>
      <c r="G59" s="9"/>
    </row>
    <row r="60">
      <c r="D60" s="9"/>
      <c r="E60" s="9"/>
      <c r="F60" s="9"/>
      <c r="G60" s="9"/>
    </row>
    <row r="61">
      <c r="D61" s="9"/>
      <c r="E61" s="9"/>
      <c r="F61" s="9"/>
      <c r="G61" s="9"/>
    </row>
    <row r="62">
      <c r="D62" s="9"/>
      <c r="E62" s="9"/>
      <c r="F62" s="9"/>
      <c r="G62" s="9"/>
    </row>
    <row r="63">
      <c r="D63" s="9"/>
      <c r="E63" s="9"/>
      <c r="F63" s="9"/>
      <c r="G63" s="9"/>
    </row>
    <row r="64">
      <c r="D64" s="9"/>
      <c r="E64" s="9"/>
      <c r="F64" s="9"/>
      <c r="G64" s="9"/>
    </row>
    <row r="65">
      <c r="D65" s="9"/>
      <c r="E65" s="9"/>
      <c r="F65" s="9"/>
      <c r="G65" s="9"/>
    </row>
    <row r="66">
      <c r="D66" s="9"/>
      <c r="E66" s="9"/>
      <c r="F66" s="9"/>
      <c r="G66" s="9"/>
    </row>
    <row r="67">
      <c r="D67" s="9"/>
      <c r="E67" s="9"/>
      <c r="F67" s="9"/>
      <c r="G67" s="9"/>
    </row>
    <row r="68">
      <c r="D68" s="9"/>
      <c r="E68" s="9"/>
      <c r="F68" s="9"/>
      <c r="G68" s="9"/>
    </row>
    <row r="69">
      <c r="D69" s="9"/>
      <c r="E69" s="9"/>
      <c r="F69" s="9"/>
      <c r="G69" s="9"/>
    </row>
    <row r="70">
      <c r="D70" s="9"/>
      <c r="E70" s="9"/>
      <c r="F70" s="9"/>
      <c r="G70" s="9"/>
    </row>
    <row r="71">
      <c r="D71" s="9"/>
      <c r="E71" s="9"/>
      <c r="F71" s="9"/>
      <c r="G71" s="9"/>
    </row>
    <row r="72">
      <c r="D72" s="9"/>
      <c r="E72" s="9"/>
      <c r="F72" s="9"/>
      <c r="G72" s="9"/>
    </row>
    <row r="73">
      <c r="D73" s="9"/>
      <c r="E73" s="9"/>
      <c r="F73" s="9"/>
      <c r="G73" s="9"/>
    </row>
    <row r="74">
      <c r="D74" s="9"/>
      <c r="E74" s="9"/>
      <c r="F74" s="9"/>
      <c r="G74" s="9"/>
    </row>
    <row r="75">
      <c r="D75" s="9"/>
      <c r="E75" s="9"/>
      <c r="F75" s="9"/>
      <c r="G75" s="9"/>
    </row>
    <row r="76">
      <c r="D76" s="9"/>
      <c r="E76" s="9"/>
      <c r="F76" s="9"/>
      <c r="G76" s="9"/>
    </row>
    <row r="77">
      <c r="D77" s="9"/>
      <c r="E77" s="9"/>
      <c r="F77" s="9"/>
      <c r="G77" s="9"/>
    </row>
    <row r="78">
      <c r="D78" s="9"/>
      <c r="E78" s="9"/>
      <c r="F78" s="9"/>
      <c r="G78" s="9"/>
    </row>
    <row r="79">
      <c r="D79" s="9"/>
      <c r="E79" s="9"/>
      <c r="F79" s="9"/>
      <c r="G79" s="9"/>
    </row>
    <row r="80">
      <c r="D80" s="9"/>
      <c r="E80" s="9"/>
      <c r="F80" s="9"/>
      <c r="G80" s="9"/>
    </row>
    <row r="81">
      <c r="D81" s="9"/>
      <c r="E81" s="9"/>
      <c r="F81" s="9"/>
      <c r="G81" s="9"/>
    </row>
    <row r="82">
      <c r="D82" s="9"/>
      <c r="E82" s="9"/>
      <c r="F82" s="9"/>
      <c r="G82" s="9"/>
    </row>
    <row r="83">
      <c r="D83" s="9"/>
      <c r="E83" s="9"/>
      <c r="F83" s="9"/>
      <c r="G83" s="9"/>
    </row>
    <row r="84">
      <c r="D84" s="9"/>
      <c r="E84" s="9"/>
      <c r="F84" s="9"/>
      <c r="G84" s="9"/>
    </row>
    <row r="85">
      <c r="D85" s="9"/>
      <c r="E85" s="9"/>
      <c r="F85" s="9"/>
      <c r="G85" s="9"/>
    </row>
    <row r="86">
      <c r="D86" s="9"/>
      <c r="E86" s="9"/>
      <c r="F86" s="9"/>
      <c r="G86" s="9"/>
    </row>
    <row r="87">
      <c r="D87" s="9"/>
      <c r="E87" s="9"/>
      <c r="F87" s="9"/>
      <c r="G87" s="9"/>
    </row>
    <row r="88">
      <c r="D88" s="9"/>
      <c r="E88" s="9"/>
      <c r="F88" s="9"/>
      <c r="G88" s="9"/>
    </row>
    <row r="89">
      <c r="D89" s="9"/>
      <c r="E89" s="9"/>
      <c r="F89" s="9"/>
      <c r="G89" s="9"/>
    </row>
    <row r="90">
      <c r="D90" s="9"/>
      <c r="E90" s="9"/>
      <c r="F90" s="9"/>
      <c r="G90" s="9"/>
    </row>
    <row r="91">
      <c r="D91" s="9"/>
      <c r="E91" s="9"/>
      <c r="F91" s="9"/>
      <c r="G91" s="9"/>
    </row>
    <row r="92">
      <c r="D92" s="9"/>
      <c r="E92" s="9"/>
      <c r="F92" s="9"/>
      <c r="G92" s="9"/>
    </row>
    <row r="93">
      <c r="D93" s="9"/>
      <c r="E93" s="9"/>
      <c r="F93" s="9"/>
      <c r="G93" s="9"/>
    </row>
    <row r="94">
      <c r="D94" s="9"/>
      <c r="E94" s="9"/>
      <c r="F94" s="9"/>
      <c r="G94" s="9"/>
    </row>
    <row r="95">
      <c r="D95" s="9"/>
      <c r="E95" s="9"/>
      <c r="F95" s="9"/>
      <c r="G95" s="9"/>
    </row>
    <row r="96">
      <c r="D96" s="9"/>
      <c r="E96" s="9"/>
      <c r="F96" s="9"/>
      <c r="G96" s="9"/>
    </row>
    <row r="97">
      <c r="D97" s="9"/>
      <c r="E97" s="9"/>
      <c r="F97" s="9"/>
      <c r="G97" s="9"/>
    </row>
    <row r="98">
      <c r="D98" s="9"/>
      <c r="E98" s="9"/>
      <c r="F98" s="9"/>
      <c r="G98" s="9"/>
    </row>
    <row r="99">
      <c r="D99" s="9"/>
      <c r="E99" s="9"/>
      <c r="F99" s="9"/>
      <c r="G99" s="9"/>
    </row>
    <row r="100">
      <c r="D100" s="9"/>
      <c r="E100" s="9"/>
      <c r="F100" s="9"/>
      <c r="G100" s="9"/>
    </row>
    <row r="101">
      <c r="D101" s="9"/>
      <c r="E101" s="9"/>
      <c r="F101" s="9"/>
      <c r="G101" s="9"/>
    </row>
    <row r="102">
      <c r="D102" s="9"/>
      <c r="E102" s="9"/>
      <c r="F102" s="9"/>
      <c r="G102" s="9"/>
    </row>
    <row r="103">
      <c r="D103" s="9"/>
      <c r="E103" s="9"/>
      <c r="F103" s="9"/>
      <c r="G103" s="9"/>
    </row>
    <row r="104">
      <c r="D104" s="9"/>
      <c r="E104" s="9"/>
      <c r="F104" s="9"/>
      <c r="G104" s="9"/>
    </row>
    <row r="105">
      <c r="D105" s="9"/>
      <c r="E105" s="9"/>
      <c r="F105" s="9"/>
      <c r="G105" s="9"/>
    </row>
    <row r="106">
      <c r="D106" s="9"/>
      <c r="E106" s="9"/>
      <c r="F106" s="9"/>
      <c r="G106" s="9"/>
    </row>
    <row r="107">
      <c r="D107" s="9"/>
      <c r="E107" s="9"/>
      <c r="F107" s="9"/>
      <c r="G107" s="9"/>
    </row>
    <row r="108">
      <c r="D108" s="9"/>
      <c r="E108" s="9"/>
      <c r="F108" s="9"/>
      <c r="G108" s="9"/>
    </row>
    <row r="109">
      <c r="D109" s="9"/>
      <c r="E109" s="9"/>
      <c r="F109" s="9"/>
      <c r="G109" s="9"/>
    </row>
    <row r="110">
      <c r="D110" s="9"/>
      <c r="E110" s="9"/>
      <c r="F110" s="9"/>
      <c r="G110" s="9"/>
    </row>
    <row r="111">
      <c r="D111" s="9"/>
      <c r="E111" s="9"/>
      <c r="F111" s="9"/>
      <c r="G111" s="9"/>
    </row>
    <row r="112">
      <c r="D112" s="9"/>
      <c r="E112" s="9"/>
      <c r="F112" s="9"/>
      <c r="G112" s="9"/>
    </row>
    <row r="113">
      <c r="D113" s="9"/>
      <c r="E113" s="9"/>
      <c r="F113" s="9"/>
      <c r="G113" s="9"/>
    </row>
    <row r="114">
      <c r="D114" s="9"/>
      <c r="E114" s="9"/>
      <c r="F114" s="9"/>
      <c r="G114" s="9"/>
    </row>
    <row r="115">
      <c r="D115" s="9"/>
      <c r="E115" s="9"/>
      <c r="F115" s="9"/>
      <c r="G115" s="9"/>
    </row>
    <row r="116">
      <c r="D116" s="9"/>
      <c r="E116" s="9"/>
      <c r="F116" s="9"/>
      <c r="G116" s="9"/>
    </row>
    <row r="117">
      <c r="D117" s="9"/>
      <c r="E117" s="9"/>
      <c r="F117" s="9"/>
      <c r="G117" s="9"/>
    </row>
    <row r="118">
      <c r="D118" s="9"/>
      <c r="E118" s="9"/>
      <c r="F118" s="9"/>
      <c r="G118" s="9"/>
    </row>
    <row r="119">
      <c r="D119" s="9"/>
      <c r="E119" s="9"/>
      <c r="F119" s="9"/>
      <c r="G119" s="9"/>
    </row>
    <row r="120">
      <c r="D120" s="9"/>
      <c r="E120" s="9"/>
      <c r="F120" s="9"/>
      <c r="G120" s="9"/>
    </row>
    <row r="121">
      <c r="D121" s="9"/>
      <c r="E121" s="9"/>
      <c r="F121" s="9"/>
      <c r="G121" s="9"/>
    </row>
    <row r="122">
      <c r="D122" s="9"/>
      <c r="E122" s="9"/>
      <c r="F122" s="9"/>
      <c r="G122" s="9"/>
    </row>
    <row r="123">
      <c r="D123" s="9"/>
      <c r="E123" s="9"/>
      <c r="F123" s="9"/>
      <c r="G123" s="9"/>
    </row>
    <row r="124">
      <c r="D124" s="9"/>
      <c r="E124" s="9"/>
      <c r="F124" s="9"/>
      <c r="G124" s="9"/>
    </row>
    <row r="125">
      <c r="D125" s="9"/>
      <c r="E125" s="9"/>
      <c r="F125" s="9"/>
      <c r="G125" s="9"/>
    </row>
    <row r="126">
      <c r="D126" s="9"/>
      <c r="E126" s="9"/>
      <c r="F126" s="9"/>
      <c r="G126" s="9"/>
    </row>
    <row r="127">
      <c r="D127" s="9"/>
      <c r="E127" s="9"/>
      <c r="F127" s="9"/>
      <c r="G127" s="9"/>
    </row>
    <row r="128">
      <c r="D128" s="9"/>
      <c r="E128" s="9"/>
      <c r="F128" s="9"/>
      <c r="G128" s="9"/>
    </row>
    <row r="129">
      <c r="D129" s="9"/>
      <c r="E129" s="9"/>
      <c r="F129" s="9"/>
      <c r="G129" s="9"/>
    </row>
    <row r="130">
      <c r="D130" s="9"/>
      <c r="E130" s="9"/>
      <c r="F130" s="9"/>
      <c r="G130" s="9"/>
    </row>
    <row r="131">
      <c r="D131" s="9"/>
      <c r="E131" s="9"/>
      <c r="F131" s="9"/>
      <c r="G131" s="9"/>
    </row>
    <row r="132">
      <c r="D132" s="9"/>
      <c r="E132" s="9"/>
      <c r="F132" s="9"/>
      <c r="G132" s="9"/>
    </row>
    <row r="133">
      <c r="D133" s="9"/>
      <c r="E133" s="9"/>
      <c r="F133" s="9"/>
      <c r="G133" s="9"/>
    </row>
    <row r="134">
      <c r="D134" s="9"/>
      <c r="E134" s="9"/>
      <c r="F134" s="9"/>
      <c r="G134" s="9"/>
    </row>
    <row r="135">
      <c r="D135" s="9"/>
      <c r="E135" s="9"/>
      <c r="F135" s="9"/>
      <c r="G135" s="9"/>
    </row>
    <row r="136">
      <c r="D136" s="9"/>
      <c r="E136" s="9"/>
      <c r="F136" s="9"/>
      <c r="G136" s="9"/>
    </row>
    <row r="137">
      <c r="D137" s="9"/>
      <c r="E137" s="9"/>
      <c r="F137" s="9"/>
      <c r="G137" s="9"/>
    </row>
    <row r="138">
      <c r="D138" s="9"/>
      <c r="E138" s="9"/>
      <c r="F138" s="9"/>
      <c r="G138" s="9"/>
    </row>
    <row r="139">
      <c r="D139" s="9"/>
      <c r="E139" s="9"/>
      <c r="F139" s="9"/>
      <c r="G139" s="9"/>
    </row>
    <row r="140">
      <c r="D140" s="9"/>
      <c r="E140" s="9"/>
      <c r="F140" s="9"/>
      <c r="G140" s="9"/>
    </row>
    <row r="141">
      <c r="D141" s="9"/>
      <c r="E141" s="9"/>
      <c r="F141" s="9"/>
      <c r="G141" s="9"/>
    </row>
    <row r="142">
      <c r="D142" s="9"/>
      <c r="E142" s="9"/>
      <c r="F142" s="9"/>
      <c r="G142" s="9"/>
    </row>
    <row r="143">
      <c r="D143" s="9"/>
      <c r="E143" s="9"/>
      <c r="F143" s="9"/>
      <c r="G143" s="9"/>
    </row>
    <row r="144">
      <c r="D144" s="9"/>
      <c r="E144" s="9"/>
      <c r="F144" s="9"/>
      <c r="G144" s="9"/>
    </row>
    <row r="145">
      <c r="D145" s="9"/>
      <c r="E145" s="9"/>
      <c r="F145" s="9"/>
      <c r="G145" s="9"/>
    </row>
    <row r="146">
      <c r="D146" s="9"/>
      <c r="E146" s="9"/>
      <c r="F146" s="9"/>
      <c r="G146" s="9"/>
    </row>
    <row r="147">
      <c r="D147" s="9"/>
      <c r="E147" s="9"/>
      <c r="F147" s="9"/>
      <c r="G147" s="9"/>
    </row>
    <row r="148">
      <c r="D148" s="9"/>
      <c r="E148" s="9"/>
      <c r="F148" s="9"/>
      <c r="G148" s="9"/>
    </row>
    <row r="149">
      <c r="D149" s="9"/>
      <c r="E149" s="9"/>
      <c r="F149" s="9"/>
      <c r="G149" s="9"/>
    </row>
    <row r="150">
      <c r="D150" s="9"/>
      <c r="E150" s="9"/>
      <c r="F150" s="9"/>
      <c r="G150" s="9"/>
    </row>
    <row r="151">
      <c r="D151" s="9"/>
      <c r="E151" s="9"/>
      <c r="F151" s="9"/>
      <c r="G151" s="9"/>
    </row>
    <row r="152">
      <c r="D152" s="9"/>
      <c r="E152" s="9"/>
      <c r="F152" s="9"/>
      <c r="G152" s="9"/>
    </row>
    <row r="153">
      <c r="D153" s="9"/>
      <c r="E153" s="9"/>
      <c r="F153" s="9"/>
      <c r="G153" s="9"/>
    </row>
    <row r="154">
      <c r="D154" s="9"/>
      <c r="E154" s="9"/>
      <c r="F154" s="9"/>
      <c r="G154" s="9"/>
    </row>
    <row r="155">
      <c r="D155" s="9"/>
      <c r="E155" s="9"/>
      <c r="F155" s="9"/>
      <c r="G155" s="9"/>
    </row>
    <row r="156">
      <c r="D156" s="9"/>
      <c r="E156" s="9"/>
      <c r="F156" s="9"/>
      <c r="G156" s="9"/>
    </row>
    <row r="157">
      <c r="D157" s="9"/>
      <c r="E157" s="9"/>
      <c r="F157" s="9"/>
      <c r="G157" s="9"/>
    </row>
    <row r="158">
      <c r="D158" s="9"/>
      <c r="E158" s="9"/>
      <c r="F158" s="9"/>
      <c r="G158" s="9"/>
    </row>
    <row r="159">
      <c r="D159" s="9"/>
      <c r="E159" s="9"/>
      <c r="F159" s="9"/>
      <c r="G159" s="9"/>
    </row>
    <row r="160">
      <c r="D160" s="9"/>
      <c r="E160" s="9"/>
      <c r="F160" s="9"/>
      <c r="G160" s="9"/>
    </row>
    <row r="161">
      <c r="D161" s="9"/>
      <c r="E161" s="9"/>
      <c r="F161" s="9"/>
      <c r="G161" s="9"/>
    </row>
    <row r="162">
      <c r="D162" s="9"/>
      <c r="E162" s="9"/>
      <c r="F162" s="9"/>
      <c r="G162" s="9"/>
    </row>
    <row r="163">
      <c r="D163" s="9"/>
      <c r="E163" s="9"/>
      <c r="F163" s="9"/>
      <c r="G163" s="9"/>
    </row>
    <row r="164">
      <c r="D164" s="9"/>
      <c r="E164" s="9"/>
      <c r="F164" s="9"/>
      <c r="G164" s="9"/>
    </row>
    <row r="165">
      <c r="D165" s="9"/>
      <c r="E165" s="9"/>
      <c r="F165" s="9"/>
      <c r="G165" s="9"/>
    </row>
    <row r="166">
      <c r="D166" s="9"/>
      <c r="E166" s="9"/>
      <c r="F166" s="9"/>
      <c r="G166" s="9"/>
    </row>
    <row r="167">
      <c r="D167" s="9"/>
      <c r="E167" s="9"/>
      <c r="F167" s="9"/>
      <c r="G167" s="9"/>
    </row>
    <row r="168">
      <c r="D168" s="9"/>
      <c r="E168" s="9"/>
      <c r="F168" s="9"/>
      <c r="G168" s="9"/>
    </row>
    <row r="169">
      <c r="D169" s="9"/>
      <c r="E169" s="9"/>
      <c r="F169" s="9"/>
      <c r="G169" s="9"/>
    </row>
    <row r="170">
      <c r="D170" s="9"/>
      <c r="E170" s="9"/>
      <c r="F170" s="9"/>
      <c r="G170" s="9"/>
    </row>
    <row r="171">
      <c r="D171" s="9"/>
      <c r="E171" s="9"/>
      <c r="F171" s="9"/>
      <c r="G171" s="9"/>
    </row>
    <row r="172">
      <c r="D172" s="9"/>
      <c r="E172" s="9"/>
      <c r="F172" s="9"/>
      <c r="G172" s="9"/>
    </row>
    <row r="173">
      <c r="D173" s="9"/>
      <c r="E173" s="9"/>
      <c r="F173" s="9"/>
      <c r="G173" s="9"/>
    </row>
    <row r="174">
      <c r="D174" s="9"/>
      <c r="E174" s="9"/>
      <c r="F174" s="9"/>
      <c r="G174" s="9"/>
    </row>
    <row r="175">
      <c r="D175" s="9"/>
      <c r="E175" s="9"/>
      <c r="F175" s="9"/>
      <c r="G175" s="9"/>
    </row>
    <row r="176">
      <c r="D176" s="9"/>
      <c r="E176" s="9"/>
      <c r="F176" s="9"/>
      <c r="G176" s="9"/>
    </row>
    <row r="177">
      <c r="D177" s="9"/>
      <c r="E177" s="9"/>
      <c r="F177" s="9"/>
      <c r="G177" s="9"/>
    </row>
    <row r="178">
      <c r="D178" s="9"/>
      <c r="E178" s="9"/>
      <c r="F178" s="9"/>
      <c r="G178" s="9"/>
    </row>
    <row r="179">
      <c r="D179" s="9"/>
      <c r="E179" s="9"/>
      <c r="F179" s="9"/>
      <c r="G179" s="9"/>
    </row>
    <row r="180">
      <c r="D180" s="9"/>
      <c r="E180" s="9"/>
      <c r="F180" s="9"/>
      <c r="G180" s="9"/>
    </row>
    <row r="181">
      <c r="D181" s="9"/>
      <c r="E181" s="9"/>
      <c r="F181" s="9"/>
      <c r="G181" s="9"/>
    </row>
    <row r="182">
      <c r="D182" s="9"/>
      <c r="E182" s="9"/>
      <c r="F182" s="9"/>
      <c r="G182" s="9"/>
    </row>
    <row r="183">
      <c r="D183" s="9"/>
      <c r="E183" s="9"/>
      <c r="F183" s="9"/>
      <c r="G183" s="9"/>
    </row>
    <row r="184">
      <c r="D184" s="9"/>
      <c r="E184" s="9"/>
      <c r="F184" s="9"/>
      <c r="G184" s="9"/>
    </row>
    <row r="185">
      <c r="D185" s="9"/>
      <c r="E185" s="9"/>
      <c r="F185" s="9"/>
      <c r="G185" s="9"/>
    </row>
    <row r="186">
      <c r="D186" s="9"/>
      <c r="E186" s="9"/>
      <c r="F186" s="9"/>
      <c r="G186" s="9"/>
    </row>
    <row r="187">
      <c r="D187" s="9"/>
      <c r="E187" s="9"/>
      <c r="F187" s="9"/>
      <c r="G187" s="9"/>
    </row>
    <row r="188">
      <c r="D188" s="9"/>
      <c r="E188" s="9"/>
      <c r="F188" s="9"/>
      <c r="G188" s="9"/>
    </row>
    <row r="189">
      <c r="D189" s="9"/>
      <c r="E189" s="9"/>
      <c r="F189" s="9"/>
      <c r="G189" s="9"/>
    </row>
    <row r="190">
      <c r="D190" s="9"/>
      <c r="E190" s="9"/>
      <c r="F190" s="9"/>
      <c r="G190" s="9"/>
    </row>
    <row r="191">
      <c r="D191" s="9"/>
      <c r="E191" s="9"/>
      <c r="F191" s="9"/>
      <c r="G191" s="9"/>
    </row>
    <row r="192">
      <c r="D192" s="9"/>
      <c r="E192" s="9"/>
      <c r="F192" s="9"/>
      <c r="G192" s="9"/>
    </row>
    <row r="193">
      <c r="D193" s="9"/>
      <c r="E193" s="9"/>
      <c r="F193" s="9"/>
      <c r="G193" s="9"/>
    </row>
    <row r="194">
      <c r="D194" s="9"/>
      <c r="E194" s="9"/>
      <c r="F194" s="9"/>
      <c r="G194" s="9"/>
    </row>
    <row r="195">
      <c r="D195" s="9"/>
      <c r="E195" s="9"/>
      <c r="F195" s="9"/>
      <c r="G195" s="9"/>
    </row>
    <row r="196">
      <c r="D196" s="9"/>
      <c r="E196" s="9"/>
      <c r="F196" s="9"/>
      <c r="G196" s="9"/>
    </row>
    <row r="197">
      <c r="D197" s="9"/>
      <c r="E197" s="9"/>
      <c r="F197" s="9"/>
      <c r="G197" s="9"/>
    </row>
    <row r="198">
      <c r="D198" s="9"/>
      <c r="E198" s="9"/>
      <c r="F198" s="9"/>
      <c r="G198" s="9"/>
    </row>
    <row r="199">
      <c r="D199" s="9"/>
      <c r="E199" s="9"/>
      <c r="F199" s="9"/>
      <c r="G199" s="9"/>
    </row>
    <row r="200">
      <c r="D200" s="9"/>
      <c r="E200" s="9"/>
      <c r="F200" s="9"/>
      <c r="G200" s="9"/>
    </row>
    <row r="201">
      <c r="D201" s="9"/>
      <c r="E201" s="9"/>
      <c r="F201" s="9"/>
      <c r="G201" s="9"/>
    </row>
    <row r="202">
      <c r="D202" s="9"/>
      <c r="E202" s="9"/>
      <c r="F202" s="9"/>
      <c r="G202" s="9"/>
    </row>
    <row r="203">
      <c r="D203" s="9"/>
      <c r="E203" s="9"/>
      <c r="F203" s="9"/>
      <c r="G203" s="9"/>
    </row>
    <row r="204">
      <c r="D204" s="9"/>
      <c r="E204" s="9"/>
      <c r="F204" s="9"/>
      <c r="G204" s="9"/>
    </row>
    <row r="205">
      <c r="D205" s="9"/>
      <c r="E205" s="9"/>
      <c r="F205" s="9"/>
      <c r="G205" s="9"/>
    </row>
    <row r="206">
      <c r="D206" s="9"/>
      <c r="E206" s="9"/>
      <c r="F206" s="9"/>
      <c r="G206" s="9"/>
    </row>
    <row r="207">
      <c r="D207" s="9"/>
      <c r="E207" s="9"/>
      <c r="F207" s="9"/>
      <c r="G207" s="9"/>
    </row>
    <row r="208">
      <c r="D208" s="9"/>
      <c r="E208" s="9"/>
      <c r="F208" s="9"/>
      <c r="G208" s="9"/>
    </row>
    <row r="209">
      <c r="D209" s="9"/>
      <c r="E209" s="9"/>
      <c r="F209" s="9"/>
      <c r="G209" s="9"/>
    </row>
    <row r="210">
      <c r="D210" s="9"/>
      <c r="E210" s="9"/>
      <c r="F210" s="9"/>
      <c r="G210" s="9"/>
    </row>
    <row r="211">
      <c r="D211" s="9"/>
      <c r="E211" s="9"/>
      <c r="F211" s="9"/>
      <c r="G211" s="9"/>
    </row>
    <row r="212">
      <c r="D212" s="9"/>
      <c r="E212" s="9"/>
      <c r="F212" s="9"/>
      <c r="G212" s="9"/>
    </row>
    <row r="213">
      <c r="D213" s="9"/>
      <c r="E213" s="9"/>
      <c r="F213" s="9"/>
      <c r="G213" s="9"/>
    </row>
    <row r="214">
      <c r="D214" s="9"/>
      <c r="E214" s="9"/>
      <c r="F214" s="9"/>
      <c r="G214" s="9"/>
    </row>
    <row r="215">
      <c r="D215" s="9"/>
      <c r="E215" s="9"/>
      <c r="F215" s="9"/>
      <c r="G215" s="9"/>
    </row>
    <row r="216">
      <c r="D216" s="9"/>
      <c r="E216" s="9"/>
      <c r="F216" s="9"/>
      <c r="G216" s="9"/>
    </row>
    <row r="217">
      <c r="D217" s="9"/>
      <c r="E217" s="9"/>
      <c r="F217" s="9"/>
      <c r="G217" s="9"/>
    </row>
    <row r="218">
      <c r="D218" s="9"/>
      <c r="E218" s="9"/>
      <c r="F218" s="9"/>
      <c r="G218" s="9"/>
    </row>
    <row r="219">
      <c r="D219" s="9"/>
      <c r="E219" s="9"/>
      <c r="F219" s="9"/>
      <c r="G219" s="9"/>
    </row>
    <row r="220">
      <c r="D220" s="9"/>
      <c r="E220" s="9"/>
      <c r="F220" s="9"/>
      <c r="G220" s="9"/>
    </row>
    <row r="221">
      <c r="D221" s="9"/>
      <c r="E221" s="9"/>
      <c r="F221" s="9"/>
      <c r="G221" s="9"/>
    </row>
    <row r="222">
      <c r="D222" s="9"/>
      <c r="E222" s="9"/>
      <c r="F222" s="9"/>
      <c r="G222" s="9"/>
    </row>
    <row r="223">
      <c r="D223" s="9"/>
      <c r="E223" s="9"/>
      <c r="F223" s="9"/>
      <c r="G223" s="9"/>
    </row>
    <row r="224">
      <c r="D224" s="9"/>
      <c r="E224" s="9"/>
      <c r="F224" s="9"/>
      <c r="G224" s="9"/>
    </row>
    <row r="225">
      <c r="D225" s="9"/>
      <c r="E225" s="9"/>
      <c r="F225" s="9"/>
      <c r="G225" s="9"/>
    </row>
    <row r="226">
      <c r="D226" s="9"/>
      <c r="E226" s="9"/>
      <c r="F226" s="9"/>
      <c r="G226" s="9"/>
    </row>
    <row r="227">
      <c r="D227" s="9"/>
      <c r="E227" s="9"/>
      <c r="F227" s="9"/>
      <c r="G227" s="9"/>
    </row>
    <row r="228">
      <c r="D228" s="9"/>
      <c r="E228" s="9"/>
      <c r="F228" s="9"/>
      <c r="G228" s="9"/>
    </row>
    <row r="229">
      <c r="D229" s="9"/>
      <c r="E229" s="9"/>
      <c r="F229" s="9"/>
      <c r="G229" s="9"/>
    </row>
    <row r="230">
      <c r="D230" s="9"/>
      <c r="E230" s="9"/>
      <c r="F230" s="9"/>
      <c r="G230" s="9"/>
    </row>
    <row r="231">
      <c r="D231" s="9"/>
      <c r="E231" s="9"/>
      <c r="F231" s="9"/>
      <c r="G231" s="9"/>
    </row>
    <row r="232">
      <c r="D232" s="9"/>
      <c r="E232" s="9"/>
      <c r="F232" s="9"/>
      <c r="G232" s="9"/>
    </row>
    <row r="233">
      <c r="D233" s="9"/>
      <c r="E233" s="9"/>
      <c r="F233" s="9"/>
      <c r="G233" s="9"/>
    </row>
    <row r="234">
      <c r="D234" s="9"/>
      <c r="E234" s="9"/>
      <c r="F234" s="9"/>
      <c r="G234" s="9"/>
    </row>
    <row r="235">
      <c r="D235" s="9"/>
      <c r="E235" s="9"/>
      <c r="F235" s="9"/>
      <c r="G235" s="9"/>
    </row>
    <row r="236">
      <c r="D236" s="9"/>
      <c r="E236" s="9"/>
      <c r="F236" s="9"/>
      <c r="G236" s="9"/>
    </row>
    <row r="237">
      <c r="D237" s="9"/>
      <c r="E237" s="9"/>
      <c r="F237" s="9"/>
      <c r="G237" s="9"/>
    </row>
    <row r="238">
      <c r="D238" s="9"/>
      <c r="E238" s="9"/>
      <c r="F238" s="9"/>
      <c r="G238" s="9"/>
    </row>
    <row r="239">
      <c r="D239" s="9"/>
      <c r="E239" s="9"/>
      <c r="F239" s="9"/>
      <c r="G239" s="9"/>
    </row>
    <row r="240">
      <c r="D240" s="9"/>
      <c r="E240" s="9"/>
      <c r="F240" s="9"/>
      <c r="G240" s="9"/>
    </row>
    <row r="241">
      <c r="D241" s="9"/>
      <c r="E241" s="9"/>
      <c r="F241" s="9"/>
      <c r="G241" s="9"/>
    </row>
    <row r="242">
      <c r="D242" s="9"/>
      <c r="E242" s="9"/>
      <c r="F242" s="9"/>
      <c r="G242" s="9"/>
    </row>
    <row r="243">
      <c r="D243" s="9"/>
      <c r="E243" s="9"/>
      <c r="F243" s="9"/>
      <c r="G243" s="9"/>
    </row>
    <row r="244">
      <c r="D244" s="9"/>
      <c r="E244" s="9"/>
      <c r="F244" s="9"/>
      <c r="G244" s="9"/>
    </row>
    <row r="245">
      <c r="D245" s="9"/>
      <c r="E245" s="9"/>
      <c r="F245" s="9"/>
      <c r="G245" s="9"/>
    </row>
    <row r="246">
      <c r="D246" s="9"/>
      <c r="E246" s="9"/>
      <c r="F246" s="9"/>
      <c r="G246" s="9"/>
    </row>
    <row r="247">
      <c r="D247" s="9"/>
      <c r="E247" s="9"/>
      <c r="F247" s="9"/>
      <c r="G247" s="9"/>
    </row>
    <row r="248">
      <c r="D248" s="9"/>
      <c r="E248" s="9"/>
      <c r="F248" s="9"/>
      <c r="G248" s="9"/>
    </row>
    <row r="249">
      <c r="D249" s="9"/>
      <c r="E249" s="9"/>
      <c r="F249" s="9"/>
      <c r="G249" s="9"/>
    </row>
    <row r="250">
      <c r="D250" s="9"/>
      <c r="E250" s="9"/>
      <c r="F250" s="9"/>
      <c r="G250" s="9"/>
    </row>
    <row r="251">
      <c r="D251" s="9"/>
      <c r="E251" s="9"/>
      <c r="F251" s="9"/>
      <c r="G251" s="9"/>
    </row>
    <row r="252">
      <c r="D252" s="9"/>
      <c r="E252" s="9"/>
      <c r="F252" s="9"/>
      <c r="G252" s="9"/>
    </row>
    <row r="253">
      <c r="D253" s="9"/>
      <c r="E253" s="9"/>
      <c r="F253" s="9"/>
      <c r="G253" s="9"/>
    </row>
    <row r="254">
      <c r="D254" s="9"/>
      <c r="E254" s="9"/>
      <c r="F254" s="9"/>
      <c r="G254" s="9"/>
    </row>
    <row r="255">
      <c r="D255" s="9"/>
      <c r="E255" s="9"/>
      <c r="F255" s="9"/>
      <c r="G255" s="9"/>
    </row>
    <row r="256">
      <c r="D256" s="9"/>
      <c r="E256" s="9"/>
      <c r="F256" s="9"/>
      <c r="G256" s="9"/>
    </row>
    <row r="257">
      <c r="D257" s="9"/>
      <c r="E257" s="9"/>
      <c r="F257" s="9"/>
      <c r="G257" s="9"/>
    </row>
    <row r="258">
      <c r="D258" s="9"/>
      <c r="E258" s="9"/>
      <c r="F258" s="9"/>
      <c r="G258" s="9"/>
    </row>
    <row r="259">
      <c r="D259" s="9"/>
      <c r="E259" s="9"/>
      <c r="F259" s="9"/>
      <c r="G259" s="9"/>
    </row>
    <row r="260">
      <c r="D260" s="9"/>
      <c r="E260" s="9"/>
      <c r="F260" s="9"/>
      <c r="G260" s="9"/>
    </row>
    <row r="261">
      <c r="D261" s="9"/>
      <c r="E261" s="9"/>
      <c r="F261" s="9"/>
      <c r="G261" s="9"/>
    </row>
    <row r="262">
      <c r="D262" s="9"/>
      <c r="E262" s="9"/>
      <c r="F262" s="9"/>
      <c r="G262" s="9"/>
    </row>
    <row r="263">
      <c r="D263" s="9"/>
      <c r="E263" s="9"/>
      <c r="F263" s="9"/>
      <c r="G263" s="9"/>
    </row>
    <row r="264">
      <c r="D264" s="9"/>
      <c r="E264" s="9"/>
      <c r="F264" s="9"/>
      <c r="G264" s="9"/>
    </row>
    <row r="265">
      <c r="D265" s="9"/>
      <c r="E265" s="9"/>
      <c r="F265" s="9"/>
      <c r="G265" s="9"/>
    </row>
    <row r="266">
      <c r="D266" s="9"/>
      <c r="E266" s="9"/>
      <c r="F266" s="9"/>
      <c r="G266" s="9"/>
    </row>
    <row r="267">
      <c r="D267" s="9"/>
      <c r="E267" s="9"/>
      <c r="F267" s="9"/>
      <c r="G267" s="9"/>
    </row>
    <row r="268">
      <c r="D268" s="9"/>
      <c r="E268" s="9"/>
      <c r="F268" s="9"/>
      <c r="G268" s="9"/>
    </row>
    <row r="269">
      <c r="D269" s="9"/>
      <c r="E269" s="9"/>
      <c r="F269" s="9"/>
      <c r="G269" s="9"/>
    </row>
    <row r="270">
      <c r="D270" s="9"/>
      <c r="E270" s="9"/>
      <c r="F270" s="9"/>
      <c r="G270" s="9"/>
    </row>
    <row r="271">
      <c r="D271" s="9"/>
      <c r="E271" s="9"/>
      <c r="F271" s="9"/>
      <c r="G271" s="9"/>
    </row>
    <row r="272">
      <c r="D272" s="9"/>
      <c r="E272" s="9"/>
      <c r="F272" s="9"/>
      <c r="G272" s="9"/>
    </row>
    <row r="273">
      <c r="D273" s="9"/>
      <c r="E273" s="9"/>
      <c r="F273" s="9"/>
      <c r="G273" s="9"/>
    </row>
    <row r="274">
      <c r="D274" s="9"/>
      <c r="E274" s="9"/>
      <c r="F274" s="9"/>
      <c r="G274" s="9"/>
    </row>
    <row r="275">
      <c r="D275" s="9"/>
      <c r="E275" s="9"/>
      <c r="F275" s="9"/>
      <c r="G275" s="9"/>
    </row>
    <row r="276">
      <c r="D276" s="9"/>
      <c r="E276" s="9"/>
      <c r="F276" s="9"/>
      <c r="G276" s="9"/>
    </row>
    <row r="277">
      <c r="D277" s="9"/>
      <c r="E277" s="9"/>
      <c r="F277" s="9"/>
      <c r="G277" s="9"/>
    </row>
    <row r="278">
      <c r="D278" s="9"/>
      <c r="E278" s="9"/>
      <c r="F278" s="9"/>
      <c r="G278" s="9"/>
    </row>
    <row r="279">
      <c r="D279" s="9"/>
      <c r="E279" s="9"/>
      <c r="F279" s="9"/>
      <c r="G279" s="9"/>
    </row>
    <row r="280">
      <c r="D280" s="9"/>
      <c r="E280" s="9"/>
      <c r="F280" s="9"/>
      <c r="G280" s="9"/>
    </row>
    <row r="281">
      <c r="D281" s="9"/>
      <c r="E281" s="9"/>
      <c r="F281" s="9"/>
      <c r="G281" s="9"/>
    </row>
    <row r="282">
      <c r="D282" s="9"/>
      <c r="E282" s="9"/>
      <c r="F282" s="9"/>
      <c r="G282" s="9"/>
    </row>
    <row r="283">
      <c r="D283" s="9"/>
      <c r="E283" s="9"/>
      <c r="F283" s="9"/>
      <c r="G283" s="9"/>
    </row>
    <row r="284">
      <c r="D284" s="9"/>
      <c r="E284" s="9"/>
      <c r="F284" s="9"/>
      <c r="G284" s="9"/>
    </row>
    <row r="285">
      <c r="D285" s="9"/>
      <c r="E285" s="9"/>
      <c r="F285" s="9"/>
      <c r="G285" s="9"/>
    </row>
    <row r="286">
      <c r="D286" s="9"/>
      <c r="E286" s="9"/>
      <c r="F286" s="9"/>
      <c r="G286" s="9"/>
    </row>
    <row r="287">
      <c r="D287" s="9"/>
      <c r="E287" s="9"/>
      <c r="F287" s="9"/>
      <c r="G287" s="9"/>
    </row>
    <row r="288">
      <c r="D288" s="9"/>
      <c r="E288" s="9"/>
      <c r="F288" s="9"/>
      <c r="G288" s="9"/>
    </row>
    <row r="289">
      <c r="D289" s="9"/>
      <c r="E289" s="9"/>
      <c r="F289" s="9"/>
      <c r="G289" s="9"/>
    </row>
    <row r="290">
      <c r="D290" s="9"/>
      <c r="E290" s="9"/>
      <c r="F290" s="9"/>
      <c r="G290" s="9"/>
    </row>
    <row r="291">
      <c r="D291" s="9"/>
      <c r="E291" s="9"/>
      <c r="F291" s="9"/>
      <c r="G291" s="9"/>
    </row>
    <row r="292">
      <c r="D292" s="9"/>
      <c r="E292" s="9"/>
      <c r="F292" s="9"/>
      <c r="G292" s="9"/>
    </row>
    <row r="293">
      <c r="D293" s="9"/>
      <c r="E293" s="9"/>
      <c r="F293" s="9"/>
      <c r="G293" s="9"/>
    </row>
    <row r="294">
      <c r="D294" s="9"/>
      <c r="E294" s="9"/>
      <c r="F294" s="9"/>
      <c r="G294" s="9"/>
    </row>
    <row r="295">
      <c r="D295" s="9"/>
      <c r="E295" s="9"/>
      <c r="F295" s="9"/>
      <c r="G295" s="9"/>
    </row>
    <row r="296">
      <c r="D296" s="9"/>
      <c r="E296" s="9"/>
      <c r="F296" s="9"/>
      <c r="G296" s="9"/>
    </row>
    <row r="297">
      <c r="D297" s="9"/>
      <c r="E297" s="9"/>
      <c r="F297" s="9"/>
      <c r="G297" s="9"/>
    </row>
    <row r="298">
      <c r="D298" s="9"/>
      <c r="E298" s="9"/>
      <c r="F298" s="9"/>
      <c r="G298" s="9"/>
    </row>
    <row r="299">
      <c r="D299" s="9"/>
      <c r="E299" s="9"/>
      <c r="F299" s="9"/>
      <c r="G299" s="9"/>
    </row>
    <row r="300">
      <c r="D300" s="9"/>
      <c r="E300" s="9"/>
      <c r="F300" s="9"/>
      <c r="G300" s="9"/>
    </row>
    <row r="301">
      <c r="D301" s="9"/>
      <c r="E301" s="9"/>
      <c r="F301" s="9"/>
      <c r="G301" s="9"/>
    </row>
    <row r="302">
      <c r="D302" s="9"/>
      <c r="E302" s="9"/>
      <c r="F302" s="9"/>
      <c r="G302" s="9"/>
    </row>
    <row r="303">
      <c r="D303" s="9"/>
      <c r="E303" s="9"/>
      <c r="F303" s="9"/>
      <c r="G303" s="9"/>
    </row>
    <row r="304">
      <c r="D304" s="9"/>
      <c r="E304" s="9"/>
      <c r="F304" s="9"/>
      <c r="G304" s="9"/>
    </row>
    <row r="305">
      <c r="D305" s="9"/>
      <c r="E305" s="9"/>
      <c r="F305" s="9"/>
      <c r="G305" s="9"/>
    </row>
    <row r="306">
      <c r="D306" s="9"/>
      <c r="E306" s="9"/>
      <c r="F306" s="9"/>
      <c r="G306" s="9"/>
    </row>
    <row r="307">
      <c r="D307" s="9"/>
      <c r="E307" s="9"/>
      <c r="F307" s="9"/>
      <c r="G307" s="9"/>
    </row>
    <row r="308">
      <c r="D308" s="9"/>
      <c r="E308" s="9"/>
      <c r="F308" s="9"/>
      <c r="G308" s="9"/>
    </row>
    <row r="309">
      <c r="D309" s="9"/>
      <c r="E309" s="9"/>
      <c r="F309" s="9"/>
      <c r="G309" s="9"/>
    </row>
    <row r="310">
      <c r="D310" s="9"/>
      <c r="E310" s="9"/>
      <c r="F310" s="9"/>
      <c r="G310" s="9"/>
    </row>
    <row r="311">
      <c r="D311" s="9"/>
      <c r="E311" s="9"/>
      <c r="F311" s="9"/>
      <c r="G311" s="9"/>
    </row>
    <row r="312">
      <c r="D312" s="9"/>
      <c r="E312" s="9"/>
      <c r="F312" s="9"/>
      <c r="G312" s="9"/>
    </row>
    <row r="313">
      <c r="D313" s="9"/>
      <c r="E313" s="9"/>
      <c r="F313" s="9"/>
      <c r="G313" s="9"/>
    </row>
    <row r="314">
      <c r="D314" s="9"/>
      <c r="E314" s="9"/>
      <c r="F314" s="9"/>
      <c r="G314" s="9"/>
    </row>
    <row r="315">
      <c r="D315" s="9"/>
      <c r="E315" s="9"/>
      <c r="F315" s="9"/>
      <c r="G315" s="9"/>
    </row>
    <row r="316">
      <c r="D316" s="9"/>
      <c r="E316" s="9"/>
      <c r="F316" s="9"/>
      <c r="G316" s="9"/>
    </row>
    <row r="317">
      <c r="D317" s="9"/>
      <c r="E317" s="9"/>
      <c r="F317" s="9"/>
      <c r="G317" s="9"/>
    </row>
    <row r="318">
      <c r="D318" s="9"/>
      <c r="E318" s="9"/>
      <c r="F318" s="9"/>
      <c r="G318" s="9"/>
    </row>
    <row r="319">
      <c r="D319" s="9"/>
      <c r="E319" s="9"/>
      <c r="F319" s="9"/>
      <c r="G319" s="9"/>
    </row>
    <row r="320">
      <c r="D320" s="9"/>
      <c r="E320" s="9"/>
      <c r="F320" s="9"/>
      <c r="G320" s="9"/>
    </row>
    <row r="321">
      <c r="D321" s="9"/>
      <c r="E321" s="9"/>
      <c r="F321" s="9"/>
      <c r="G321" s="9"/>
    </row>
    <row r="322">
      <c r="D322" s="9"/>
      <c r="E322" s="9"/>
      <c r="F322" s="9"/>
      <c r="G322" s="9"/>
    </row>
    <row r="323">
      <c r="D323" s="9"/>
      <c r="E323" s="9"/>
      <c r="F323" s="9"/>
      <c r="G323" s="9"/>
    </row>
    <row r="324">
      <c r="D324" s="9"/>
      <c r="E324" s="9"/>
      <c r="F324" s="9"/>
      <c r="G324" s="9"/>
    </row>
    <row r="325">
      <c r="D325" s="9"/>
      <c r="E325" s="9"/>
      <c r="F325" s="9"/>
      <c r="G325" s="9"/>
    </row>
    <row r="326">
      <c r="D326" s="9"/>
      <c r="E326" s="9"/>
      <c r="F326" s="9"/>
      <c r="G326" s="9"/>
    </row>
    <row r="327">
      <c r="D327" s="9"/>
      <c r="E327" s="9"/>
      <c r="F327" s="9"/>
      <c r="G327" s="9"/>
    </row>
    <row r="328">
      <c r="D328" s="9"/>
      <c r="E328" s="9"/>
      <c r="F328" s="9"/>
      <c r="G328" s="9"/>
    </row>
    <row r="329">
      <c r="D329" s="9"/>
      <c r="E329" s="9"/>
      <c r="F329" s="9"/>
      <c r="G329" s="9"/>
    </row>
    <row r="330">
      <c r="D330" s="9"/>
      <c r="E330" s="9"/>
      <c r="F330" s="9"/>
      <c r="G330" s="9"/>
    </row>
    <row r="331">
      <c r="D331" s="9"/>
      <c r="E331" s="9"/>
      <c r="F331" s="9"/>
      <c r="G331" s="9"/>
    </row>
    <row r="332">
      <c r="D332" s="9"/>
      <c r="E332" s="9"/>
      <c r="F332" s="9"/>
      <c r="G332" s="9"/>
    </row>
    <row r="333">
      <c r="D333" s="9"/>
      <c r="E333" s="9"/>
      <c r="F333" s="9"/>
      <c r="G333" s="9"/>
    </row>
    <row r="334">
      <c r="D334" s="9"/>
      <c r="E334" s="9"/>
      <c r="F334" s="9"/>
      <c r="G334" s="9"/>
    </row>
    <row r="335">
      <c r="D335" s="9"/>
      <c r="E335" s="9"/>
      <c r="F335" s="9"/>
      <c r="G335" s="9"/>
    </row>
    <row r="336">
      <c r="D336" s="9"/>
      <c r="E336" s="9"/>
      <c r="F336" s="9"/>
      <c r="G336" s="9"/>
    </row>
    <row r="337">
      <c r="D337" s="9"/>
      <c r="E337" s="9"/>
      <c r="F337" s="9"/>
      <c r="G337" s="9"/>
    </row>
    <row r="338">
      <c r="D338" s="9"/>
      <c r="E338" s="9"/>
      <c r="F338" s="9"/>
      <c r="G338" s="9"/>
    </row>
    <row r="339">
      <c r="D339" s="9"/>
      <c r="E339" s="9"/>
      <c r="F339" s="9"/>
      <c r="G339" s="9"/>
    </row>
    <row r="340">
      <c r="D340" s="9"/>
      <c r="E340" s="9"/>
      <c r="F340" s="9"/>
      <c r="G340" s="9"/>
    </row>
    <row r="341">
      <c r="D341" s="9"/>
      <c r="E341" s="9"/>
      <c r="F341" s="9"/>
      <c r="G341" s="9"/>
    </row>
    <row r="342">
      <c r="D342" s="9"/>
      <c r="E342" s="9"/>
      <c r="F342" s="9"/>
      <c r="G342" s="9"/>
    </row>
    <row r="343">
      <c r="D343" s="9"/>
      <c r="E343" s="9"/>
      <c r="F343" s="9"/>
      <c r="G343" s="9"/>
    </row>
    <row r="344">
      <c r="D344" s="9"/>
      <c r="E344" s="9"/>
      <c r="F344" s="9"/>
      <c r="G344" s="9"/>
    </row>
    <row r="345">
      <c r="D345" s="9"/>
      <c r="E345" s="9"/>
      <c r="F345" s="9"/>
      <c r="G345" s="9"/>
    </row>
    <row r="346">
      <c r="D346" s="9"/>
      <c r="E346" s="9"/>
      <c r="F346" s="9"/>
      <c r="G346" s="9"/>
    </row>
    <row r="347">
      <c r="D347" s="9"/>
      <c r="E347" s="9"/>
      <c r="F347" s="9"/>
      <c r="G347" s="9"/>
    </row>
    <row r="348">
      <c r="D348" s="9"/>
      <c r="E348" s="9"/>
      <c r="F348" s="9"/>
      <c r="G348" s="9"/>
    </row>
    <row r="349">
      <c r="D349" s="9"/>
      <c r="E349" s="9"/>
      <c r="F349" s="9"/>
      <c r="G349" s="9"/>
    </row>
    <row r="350">
      <c r="D350" s="9"/>
      <c r="E350" s="9"/>
      <c r="F350" s="9"/>
      <c r="G350" s="9"/>
    </row>
    <row r="351">
      <c r="D351" s="9"/>
      <c r="E351" s="9"/>
      <c r="F351" s="9"/>
      <c r="G351" s="9"/>
    </row>
    <row r="352">
      <c r="D352" s="9"/>
      <c r="E352" s="9"/>
      <c r="F352" s="9"/>
      <c r="G352" s="9"/>
    </row>
    <row r="353">
      <c r="D353" s="9"/>
      <c r="E353" s="9"/>
      <c r="F353" s="9"/>
      <c r="G353" s="9"/>
    </row>
    <row r="354">
      <c r="D354" s="9"/>
      <c r="E354" s="9"/>
      <c r="F354" s="9"/>
      <c r="G354" s="9"/>
    </row>
    <row r="355">
      <c r="D355" s="9"/>
      <c r="E355" s="9"/>
      <c r="F355" s="9"/>
      <c r="G355" s="9"/>
    </row>
    <row r="356">
      <c r="D356" s="9"/>
      <c r="E356" s="9"/>
      <c r="F356" s="9"/>
      <c r="G356" s="9"/>
    </row>
    <row r="357">
      <c r="D357" s="9"/>
      <c r="E357" s="9"/>
      <c r="F357" s="9"/>
      <c r="G357" s="9"/>
    </row>
    <row r="358">
      <c r="D358" s="9"/>
      <c r="E358" s="9"/>
      <c r="F358" s="9"/>
      <c r="G358" s="9"/>
    </row>
    <row r="359">
      <c r="D359" s="9"/>
      <c r="E359" s="9"/>
      <c r="F359" s="9"/>
      <c r="G359" s="9"/>
    </row>
    <row r="360">
      <c r="D360" s="9"/>
      <c r="E360" s="9"/>
      <c r="F360" s="9"/>
      <c r="G360" s="9"/>
    </row>
    <row r="361">
      <c r="D361" s="9"/>
      <c r="E361" s="9"/>
      <c r="F361" s="9"/>
      <c r="G361" s="9"/>
    </row>
    <row r="362">
      <c r="D362" s="9"/>
      <c r="E362" s="9"/>
      <c r="F362" s="9"/>
      <c r="G362" s="9"/>
    </row>
    <row r="363">
      <c r="D363" s="9"/>
      <c r="E363" s="9"/>
      <c r="F363" s="9"/>
      <c r="G363" s="9"/>
    </row>
    <row r="364">
      <c r="D364" s="9"/>
      <c r="E364" s="9"/>
      <c r="F364" s="9"/>
      <c r="G364" s="9"/>
    </row>
    <row r="365">
      <c r="D365" s="9"/>
      <c r="E365" s="9"/>
      <c r="F365" s="9"/>
      <c r="G365" s="9"/>
    </row>
    <row r="366">
      <c r="D366" s="9"/>
      <c r="E366" s="9"/>
      <c r="F366" s="9"/>
      <c r="G366" s="9"/>
    </row>
    <row r="367">
      <c r="D367" s="9"/>
      <c r="E367" s="9"/>
      <c r="F367" s="9"/>
      <c r="G367" s="9"/>
    </row>
    <row r="368">
      <c r="D368" s="9"/>
      <c r="E368" s="9"/>
      <c r="F368" s="9"/>
      <c r="G368" s="9"/>
    </row>
    <row r="369">
      <c r="D369" s="9"/>
      <c r="E369" s="9"/>
      <c r="F369" s="9"/>
      <c r="G369" s="9"/>
    </row>
    <row r="370">
      <c r="D370" s="9"/>
      <c r="E370" s="9"/>
      <c r="F370" s="9"/>
      <c r="G370" s="9"/>
    </row>
    <row r="371">
      <c r="D371" s="9"/>
      <c r="E371" s="9"/>
      <c r="F371" s="9"/>
      <c r="G371" s="9"/>
    </row>
    <row r="372">
      <c r="D372" s="9"/>
      <c r="E372" s="9"/>
      <c r="F372" s="9"/>
      <c r="G372" s="9"/>
    </row>
    <row r="373">
      <c r="D373" s="9"/>
      <c r="E373" s="9"/>
      <c r="F373" s="9"/>
      <c r="G373" s="9"/>
    </row>
    <row r="374">
      <c r="D374" s="9"/>
      <c r="E374" s="9"/>
      <c r="F374" s="9"/>
      <c r="G374" s="9"/>
    </row>
    <row r="375">
      <c r="D375" s="9"/>
      <c r="E375" s="9"/>
      <c r="F375" s="9"/>
      <c r="G375" s="9"/>
    </row>
    <row r="376">
      <c r="D376" s="9"/>
      <c r="E376" s="9"/>
      <c r="F376" s="9"/>
      <c r="G376" s="9"/>
    </row>
    <row r="377">
      <c r="D377" s="9"/>
      <c r="E377" s="9"/>
      <c r="F377" s="9"/>
      <c r="G377" s="9"/>
    </row>
    <row r="378">
      <c r="D378" s="9"/>
      <c r="E378" s="9"/>
      <c r="F378" s="9"/>
      <c r="G378" s="9"/>
    </row>
    <row r="379">
      <c r="D379" s="9"/>
      <c r="E379" s="9"/>
      <c r="F379" s="9"/>
      <c r="G379" s="9"/>
    </row>
    <row r="380">
      <c r="D380" s="9"/>
      <c r="E380" s="9"/>
      <c r="F380" s="9"/>
      <c r="G380" s="9"/>
    </row>
    <row r="381">
      <c r="D381" s="9"/>
      <c r="E381" s="9"/>
      <c r="F381" s="9"/>
      <c r="G381" s="9"/>
    </row>
    <row r="382">
      <c r="D382" s="9"/>
      <c r="E382" s="9"/>
      <c r="F382" s="9"/>
      <c r="G382" s="9"/>
    </row>
    <row r="383">
      <c r="D383" s="9"/>
      <c r="E383" s="9"/>
      <c r="F383" s="9"/>
      <c r="G383" s="9"/>
    </row>
    <row r="384">
      <c r="D384" s="9"/>
      <c r="E384" s="9"/>
      <c r="F384" s="9"/>
      <c r="G384" s="9"/>
    </row>
    <row r="385">
      <c r="D385" s="9"/>
      <c r="E385" s="9"/>
      <c r="F385" s="9"/>
      <c r="G385" s="9"/>
    </row>
    <row r="386">
      <c r="D386" s="9"/>
      <c r="E386" s="9"/>
      <c r="F386" s="9"/>
      <c r="G386" s="9"/>
    </row>
    <row r="387">
      <c r="D387" s="9"/>
      <c r="E387" s="9"/>
      <c r="F387" s="9"/>
      <c r="G387" s="9"/>
    </row>
    <row r="388">
      <c r="D388" s="9"/>
      <c r="E388" s="9"/>
      <c r="F388" s="9"/>
      <c r="G388" s="9"/>
    </row>
    <row r="389">
      <c r="D389" s="9"/>
      <c r="E389" s="9"/>
      <c r="F389" s="9"/>
      <c r="G389" s="9"/>
    </row>
    <row r="390">
      <c r="D390" s="9"/>
      <c r="E390" s="9"/>
      <c r="F390" s="9"/>
      <c r="G390" s="9"/>
    </row>
    <row r="391">
      <c r="D391" s="9"/>
      <c r="E391" s="9"/>
      <c r="F391" s="9"/>
      <c r="G391" s="9"/>
    </row>
    <row r="392">
      <c r="D392" s="9"/>
      <c r="E392" s="9"/>
      <c r="F392" s="9"/>
      <c r="G392" s="9"/>
    </row>
    <row r="393">
      <c r="D393" s="9"/>
      <c r="E393" s="9"/>
      <c r="F393" s="9"/>
      <c r="G393" s="9"/>
    </row>
    <row r="394">
      <c r="D394" s="9"/>
      <c r="E394" s="9"/>
      <c r="F394" s="9"/>
      <c r="G394" s="9"/>
    </row>
    <row r="395">
      <c r="D395" s="9"/>
      <c r="E395" s="9"/>
      <c r="F395" s="9"/>
      <c r="G395" s="9"/>
    </row>
    <row r="396">
      <c r="D396" s="9"/>
      <c r="E396" s="9"/>
      <c r="F396" s="9"/>
      <c r="G396" s="9"/>
    </row>
    <row r="397">
      <c r="D397" s="9"/>
      <c r="E397" s="9"/>
      <c r="F397" s="9"/>
      <c r="G397" s="9"/>
    </row>
    <row r="398">
      <c r="D398" s="9"/>
      <c r="E398" s="9"/>
      <c r="F398" s="9"/>
      <c r="G398" s="9"/>
    </row>
    <row r="399">
      <c r="D399" s="9"/>
      <c r="E399" s="9"/>
      <c r="F399" s="9"/>
      <c r="G399" s="9"/>
    </row>
    <row r="400">
      <c r="D400" s="9"/>
      <c r="E400" s="9"/>
      <c r="F400" s="9"/>
      <c r="G400" s="9"/>
    </row>
    <row r="401">
      <c r="D401" s="9"/>
      <c r="E401" s="9"/>
      <c r="F401" s="9"/>
      <c r="G401" s="9"/>
    </row>
    <row r="402">
      <c r="D402" s="9"/>
      <c r="E402" s="9"/>
      <c r="F402" s="9"/>
      <c r="G402" s="9"/>
    </row>
    <row r="403">
      <c r="D403" s="9"/>
      <c r="E403" s="9"/>
      <c r="F403" s="9"/>
      <c r="G403" s="9"/>
    </row>
    <row r="404">
      <c r="D404" s="9"/>
      <c r="E404" s="9"/>
      <c r="F404" s="9"/>
      <c r="G404" s="9"/>
    </row>
    <row r="405">
      <c r="D405" s="9"/>
      <c r="E405" s="9"/>
      <c r="F405" s="9"/>
      <c r="G405" s="9"/>
    </row>
    <row r="406">
      <c r="D406" s="9"/>
      <c r="E406" s="9"/>
      <c r="F406" s="9"/>
      <c r="G406" s="9"/>
    </row>
    <row r="407">
      <c r="D407" s="9"/>
      <c r="E407" s="9"/>
      <c r="F407" s="9"/>
      <c r="G407" s="9"/>
    </row>
    <row r="408">
      <c r="D408" s="9"/>
      <c r="E408" s="9"/>
      <c r="F408" s="9"/>
      <c r="G408" s="9"/>
    </row>
    <row r="409">
      <c r="D409" s="9"/>
      <c r="E409" s="9"/>
      <c r="F409" s="9"/>
      <c r="G409" s="9"/>
    </row>
    <row r="410">
      <c r="D410" s="9"/>
      <c r="E410" s="9"/>
      <c r="F410" s="9"/>
      <c r="G410" s="9"/>
    </row>
    <row r="411">
      <c r="D411" s="9"/>
      <c r="E411" s="9"/>
      <c r="F411" s="9"/>
      <c r="G411" s="9"/>
    </row>
    <row r="412">
      <c r="D412" s="9"/>
      <c r="E412" s="9"/>
      <c r="F412" s="9"/>
      <c r="G412" s="9"/>
    </row>
    <row r="413">
      <c r="D413" s="9"/>
      <c r="E413" s="9"/>
      <c r="F413" s="9"/>
      <c r="G413" s="9"/>
    </row>
    <row r="414">
      <c r="D414" s="9"/>
      <c r="E414" s="9"/>
      <c r="F414" s="9"/>
      <c r="G414" s="9"/>
    </row>
    <row r="415">
      <c r="D415" s="9"/>
      <c r="E415" s="9"/>
      <c r="F415" s="9"/>
      <c r="G415" s="9"/>
    </row>
    <row r="416">
      <c r="D416" s="9"/>
      <c r="E416" s="9"/>
      <c r="F416" s="9"/>
      <c r="G416" s="9"/>
    </row>
    <row r="417">
      <c r="D417" s="9"/>
      <c r="E417" s="9"/>
      <c r="F417" s="9"/>
      <c r="G417" s="9"/>
    </row>
    <row r="418">
      <c r="D418" s="9"/>
      <c r="E418" s="9"/>
      <c r="F418" s="9"/>
      <c r="G418" s="9"/>
    </row>
    <row r="419">
      <c r="D419" s="9"/>
      <c r="E419" s="9"/>
      <c r="F419" s="9"/>
      <c r="G419" s="9"/>
    </row>
    <row r="420">
      <c r="D420" s="9"/>
      <c r="E420" s="9"/>
      <c r="F420" s="9"/>
      <c r="G420" s="9"/>
    </row>
    <row r="421">
      <c r="D421" s="9"/>
      <c r="E421" s="9"/>
      <c r="F421" s="9"/>
      <c r="G421" s="9"/>
    </row>
    <row r="422">
      <c r="D422" s="9"/>
      <c r="E422" s="9"/>
      <c r="F422" s="9"/>
      <c r="G422" s="9"/>
    </row>
    <row r="423">
      <c r="D423" s="9"/>
      <c r="E423" s="9"/>
      <c r="F423" s="9"/>
      <c r="G423" s="9"/>
    </row>
    <row r="424">
      <c r="D424" s="9"/>
      <c r="E424" s="9"/>
      <c r="F424" s="9"/>
      <c r="G424" s="9"/>
    </row>
    <row r="425">
      <c r="D425" s="9"/>
      <c r="E425" s="9"/>
      <c r="F425" s="9"/>
      <c r="G425" s="9"/>
    </row>
    <row r="426">
      <c r="D426" s="9"/>
      <c r="E426" s="9"/>
      <c r="F426" s="9"/>
      <c r="G426" s="9"/>
    </row>
    <row r="427">
      <c r="D427" s="9"/>
      <c r="E427" s="9"/>
      <c r="F427" s="9"/>
      <c r="G427" s="9"/>
    </row>
    <row r="428">
      <c r="D428" s="9"/>
      <c r="E428" s="9"/>
      <c r="F428" s="9"/>
      <c r="G428" s="9"/>
    </row>
    <row r="429">
      <c r="D429" s="9"/>
      <c r="E429" s="9"/>
      <c r="F429" s="9"/>
      <c r="G429" s="9"/>
    </row>
    <row r="430">
      <c r="D430" s="9"/>
      <c r="E430" s="9"/>
      <c r="F430" s="9"/>
      <c r="G430" s="9"/>
    </row>
    <row r="431">
      <c r="D431" s="9"/>
      <c r="E431" s="9"/>
      <c r="F431" s="9"/>
      <c r="G431" s="9"/>
    </row>
    <row r="432">
      <c r="D432" s="9"/>
      <c r="E432" s="9"/>
      <c r="F432" s="9"/>
      <c r="G432" s="9"/>
    </row>
    <row r="433">
      <c r="D433" s="9"/>
      <c r="E433" s="9"/>
      <c r="F433" s="9"/>
      <c r="G433" s="9"/>
    </row>
    <row r="434">
      <c r="D434" s="9"/>
      <c r="E434" s="9"/>
      <c r="F434" s="9"/>
      <c r="G434" s="9"/>
    </row>
    <row r="435">
      <c r="D435" s="9"/>
      <c r="E435" s="9"/>
      <c r="F435" s="9"/>
      <c r="G435" s="9"/>
    </row>
    <row r="436">
      <c r="D436" s="9"/>
      <c r="E436" s="9"/>
      <c r="F436" s="9"/>
      <c r="G436" s="9"/>
    </row>
    <row r="437">
      <c r="D437" s="9"/>
      <c r="E437" s="9"/>
      <c r="F437" s="9"/>
      <c r="G437" s="9"/>
    </row>
    <row r="438">
      <c r="D438" s="9"/>
      <c r="E438" s="9"/>
      <c r="F438" s="9"/>
      <c r="G438" s="9"/>
    </row>
    <row r="439">
      <c r="D439" s="9"/>
      <c r="E439" s="9"/>
      <c r="F439" s="9"/>
      <c r="G439" s="9"/>
    </row>
    <row r="440">
      <c r="D440" s="9"/>
      <c r="E440" s="9"/>
      <c r="F440" s="9"/>
      <c r="G440" s="9"/>
    </row>
    <row r="441">
      <c r="D441" s="9"/>
      <c r="E441" s="9"/>
      <c r="F441" s="9"/>
      <c r="G441" s="9"/>
    </row>
    <row r="442">
      <c r="D442" s="9"/>
      <c r="E442" s="9"/>
      <c r="F442" s="9"/>
      <c r="G442" s="9"/>
    </row>
    <row r="443">
      <c r="D443" s="9"/>
      <c r="E443" s="9"/>
      <c r="F443" s="9"/>
      <c r="G443" s="9"/>
    </row>
    <row r="444">
      <c r="D444" s="9"/>
      <c r="E444" s="9"/>
      <c r="F444" s="9"/>
      <c r="G444" s="9"/>
    </row>
    <row r="445">
      <c r="D445" s="9"/>
      <c r="E445" s="9"/>
      <c r="F445" s="9"/>
      <c r="G445" s="9"/>
    </row>
    <row r="446">
      <c r="D446" s="9"/>
      <c r="E446" s="9"/>
      <c r="F446" s="9"/>
      <c r="G446" s="9"/>
    </row>
    <row r="447">
      <c r="D447" s="9"/>
      <c r="E447" s="9"/>
      <c r="F447" s="9"/>
      <c r="G447" s="9"/>
    </row>
    <row r="448">
      <c r="D448" s="9"/>
      <c r="E448" s="9"/>
      <c r="F448" s="9"/>
      <c r="G448" s="9"/>
    </row>
    <row r="449">
      <c r="D449" s="9"/>
      <c r="E449" s="9"/>
      <c r="F449" s="9"/>
      <c r="G449" s="9"/>
    </row>
    <row r="450">
      <c r="D450" s="9"/>
      <c r="E450" s="9"/>
      <c r="F450" s="9"/>
      <c r="G450" s="9"/>
    </row>
    <row r="451">
      <c r="D451" s="9"/>
      <c r="E451" s="9"/>
      <c r="F451" s="9"/>
      <c r="G451" s="9"/>
    </row>
    <row r="452">
      <c r="D452" s="9"/>
      <c r="E452" s="9"/>
      <c r="F452" s="9"/>
      <c r="G452" s="9"/>
    </row>
    <row r="453">
      <c r="D453" s="9"/>
      <c r="E453" s="9"/>
      <c r="F453" s="9"/>
      <c r="G453" s="9"/>
    </row>
    <row r="454">
      <c r="D454" s="9"/>
      <c r="E454" s="9"/>
      <c r="F454" s="9"/>
      <c r="G454" s="9"/>
    </row>
    <row r="455">
      <c r="D455" s="9"/>
      <c r="E455" s="9"/>
      <c r="F455" s="9"/>
      <c r="G455" s="9"/>
    </row>
    <row r="456">
      <c r="D456" s="9"/>
      <c r="E456" s="9"/>
      <c r="F456" s="9"/>
      <c r="G456" s="9"/>
    </row>
    <row r="457">
      <c r="D457" s="9"/>
      <c r="E457" s="9"/>
      <c r="F457" s="9"/>
      <c r="G457" s="9"/>
    </row>
    <row r="458">
      <c r="D458" s="9"/>
      <c r="E458" s="9"/>
      <c r="F458" s="9"/>
      <c r="G458" s="9"/>
    </row>
    <row r="459">
      <c r="D459" s="9"/>
      <c r="E459" s="9"/>
      <c r="F459" s="9"/>
      <c r="G459" s="9"/>
    </row>
    <row r="460">
      <c r="D460" s="9"/>
      <c r="E460" s="9"/>
      <c r="F460" s="9"/>
      <c r="G460" s="9"/>
    </row>
    <row r="461">
      <c r="D461" s="9"/>
      <c r="E461" s="9"/>
      <c r="F461" s="9"/>
      <c r="G461" s="9"/>
    </row>
    <row r="462">
      <c r="D462" s="9"/>
      <c r="E462" s="9"/>
      <c r="F462" s="9"/>
      <c r="G462" s="9"/>
    </row>
    <row r="463">
      <c r="D463" s="9"/>
      <c r="E463" s="9"/>
      <c r="F463" s="9"/>
      <c r="G463" s="9"/>
    </row>
    <row r="464">
      <c r="D464" s="9"/>
      <c r="E464" s="9"/>
      <c r="F464" s="9"/>
      <c r="G464" s="9"/>
    </row>
    <row r="465">
      <c r="D465" s="9"/>
      <c r="E465" s="9"/>
      <c r="F465" s="9"/>
      <c r="G465" s="9"/>
    </row>
    <row r="466">
      <c r="D466" s="9"/>
      <c r="E466" s="9"/>
      <c r="F466" s="9"/>
      <c r="G466" s="9"/>
    </row>
    <row r="467">
      <c r="D467" s="9"/>
      <c r="E467" s="9"/>
      <c r="F467" s="9"/>
      <c r="G467" s="9"/>
    </row>
    <row r="468">
      <c r="D468" s="9"/>
      <c r="E468" s="9"/>
      <c r="F468" s="9"/>
      <c r="G468" s="9"/>
    </row>
    <row r="469">
      <c r="D469" s="9"/>
      <c r="E469" s="9"/>
      <c r="F469" s="9"/>
      <c r="G469" s="9"/>
    </row>
    <row r="470">
      <c r="D470" s="9"/>
      <c r="E470" s="9"/>
      <c r="F470" s="9"/>
      <c r="G470" s="9"/>
    </row>
    <row r="471">
      <c r="D471" s="9"/>
      <c r="E471" s="9"/>
      <c r="F471" s="9"/>
      <c r="G471" s="9"/>
    </row>
    <row r="472">
      <c r="D472" s="9"/>
      <c r="E472" s="9"/>
      <c r="F472" s="9"/>
      <c r="G472" s="9"/>
    </row>
    <row r="473">
      <c r="D473" s="9"/>
      <c r="E473" s="9"/>
      <c r="F473" s="9"/>
      <c r="G473" s="9"/>
    </row>
    <row r="474">
      <c r="D474" s="9"/>
      <c r="E474" s="9"/>
      <c r="F474" s="9"/>
      <c r="G474" s="9"/>
    </row>
    <row r="475">
      <c r="D475" s="9"/>
      <c r="E475" s="9"/>
      <c r="F475" s="9"/>
      <c r="G475" s="9"/>
    </row>
    <row r="476">
      <c r="D476" s="9"/>
      <c r="E476" s="9"/>
      <c r="F476" s="9"/>
      <c r="G476" s="9"/>
    </row>
    <row r="477">
      <c r="D477" s="9"/>
      <c r="E477" s="9"/>
      <c r="F477" s="9"/>
      <c r="G477" s="9"/>
    </row>
    <row r="478">
      <c r="D478" s="9"/>
      <c r="E478" s="9"/>
      <c r="F478" s="9"/>
      <c r="G478" s="9"/>
    </row>
    <row r="479">
      <c r="D479" s="9"/>
      <c r="E479" s="9"/>
      <c r="F479" s="9"/>
      <c r="G479" s="9"/>
    </row>
    <row r="480">
      <c r="D480" s="9"/>
      <c r="E480" s="9"/>
      <c r="F480" s="9"/>
      <c r="G480" s="9"/>
    </row>
    <row r="481">
      <c r="D481" s="9"/>
      <c r="E481" s="9"/>
      <c r="F481" s="9"/>
      <c r="G481" s="9"/>
    </row>
    <row r="482">
      <c r="D482" s="9"/>
      <c r="E482" s="9"/>
      <c r="F482" s="9"/>
      <c r="G482" s="9"/>
    </row>
    <row r="483">
      <c r="D483" s="9"/>
      <c r="E483" s="9"/>
      <c r="F483" s="9"/>
      <c r="G483" s="9"/>
    </row>
    <row r="484">
      <c r="D484" s="9"/>
      <c r="E484" s="9"/>
      <c r="F484" s="9"/>
      <c r="G484" s="9"/>
    </row>
    <row r="485">
      <c r="D485" s="9"/>
      <c r="E485" s="9"/>
      <c r="F485" s="9"/>
      <c r="G485" s="9"/>
    </row>
    <row r="486">
      <c r="D486" s="9"/>
      <c r="E486" s="9"/>
      <c r="F486" s="9"/>
      <c r="G486" s="9"/>
    </row>
    <row r="487">
      <c r="D487" s="9"/>
      <c r="E487" s="9"/>
      <c r="F487" s="9"/>
      <c r="G487" s="9"/>
    </row>
    <row r="488">
      <c r="D488" s="9"/>
      <c r="E488" s="9"/>
      <c r="F488" s="9"/>
      <c r="G488" s="9"/>
    </row>
    <row r="489">
      <c r="D489" s="9"/>
      <c r="E489" s="9"/>
      <c r="F489" s="9"/>
      <c r="G489" s="9"/>
    </row>
    <row r="490">
      <c r="D490" s="9"/>
      <c r="E490" s="9"/>
      <c r="F490" s="9"/>
      <c r="G490" s="9"/>
    </row>
    <row r="491">
      <c r="D491" s="9"/>
      <c r="E491" s="9"/>
      <c r="F491" s="9"/>
      <c r="G491" s="9"/>
    </row>
    <row r="492">
      <c r="D492" s="9"/>
      <c r="E492" s="9"/>
      <c r="F492" s="9"/>
      <c r="G492" s="9"/>
    </row>
    <row r="493">
      <c r="D493" s="9"/>
      <c r="E493" s="9"/>
      <c r="F493" s="9"/>
      <c r="G493" s="9"/>
    </row>
    <row r="494">
      <c r="D494" s="9"/>
      <c r="E494" s="9"/>
      <c r="F494" s="9"/>
      <c r="G494" s="9"/>
    </row>
    <row r="495">
      <c r="D495" s="9"/>
      <c r="E495" s="9"/>
      <c r="F495" s="9"/>
      <c r="G495" s="9"/>
    </row>
    <row r="496">
      <c r="D496" s="9"/>
      <c r="E496" s="9"/>
      <c r="F496" s="9"/>
      <c r="G496" s="9"/>
    </row>
    <row r="497">
      <c r="D497" s="9"/>
      <c r="E497" s="9"/>
      <c r="F497" s="9"/>
      <c r="G497" s="9"/>
    </row>
    <row r="498">
      <c r="D498" s="9"/>
      <c r="E498" s="9"/>
      <c r="F498" s="9"/>
      <c r="G498" s="9"/>
    </row>
    <row r="499">
      <c r="D499" s="9"/>
      <c r="E499" s="9"/>
      <c r="F499" s="9"/>
      <c r="G499" s="9"/>
    </row>
    <row r="500">
      <c r="D500" s="9"/>
      <c r="E500" s="9"/>
      <c r="F500" s="9"/>
      <c r="G500" s="9"/>
    </row>
    <row r="501">
      <c r="D501" s="9"/>
      <c r="E501" s="9"/>
      <c r="F501" s="9"/>
      <c r="G501" s="9"/>
    </row>
    <row r="502">
      <c r="D502" s="9"/>
      <c r="E502" s="9"/>
      <c r="F502" s="9"/>
      <c r="G502" s="9"/>
    </row>
    <row r="503">
      <c r="D503" s="9"/>
      <c r="E503" s="9"/>
      <c r="F503" s="9"/>
      <c r="G503" s="9"/>
    </row>
    <row r="504">
      <c r="D504" s="9"/>
      <c r="E504" s="9"/>
      <c r="F504" s="9"/>
      <c r="G504" s="9"/>
    </row>
    <row r="505">
      <c r="D505" s="9"/>
      <c r="E505" s="9"/>
      <c r="F505" s="9"/>
      <c r="G505" s="9"/>
    </row>
    <row r="506">
      <c r="D506" s="9"/>
      <c r="E506" s="9"/>
      <c r="F506" s="9"/>
      <c r="G506" s="9"/>
    </row>
    <row r="507">
      <c r="D507" s="9"/>
      <c r="E507" s="9"/>
      <c r="F507" s="9"/>
      <c r="G507" s="9"/>
    </row>
    <row r="508">
      <c r="D508" s="9"/>
      <c r="E508" s="9"/>
      <c r="F508" s="9"/>
      <c r="G508" s="9"/>
    </row>
    <row r="509">
      <c r="D509" s="9"/>
      <c r="E509" s="9"/>
      <c r="F509" s="9"/>
      <c r="G509" s="9"/>
    </row>
    <row r="510">
      <c r="D510" s="9"/>
      <c r="E510" s="9"/>
      <c r="F510" s="9"/>
      <c r="G510" s="9"/>
    </row>
    <row r="511">
      <c r="D511" s="9"/>
      <c r="E511" s="9"/>
      <c r="F511" s="9"/>
      <c r="G511" s="9"/>
    </row>
    <row r="512">
      <c r="D512" s="9"/>
      <c r="E512" s="9"/>
      <c r="F512" s="9"/>
      <c r="G512" s="9"/>
    </row>
    <row r="513">
      <c r="D513" s="9"/>
      <c r="E513" s="9"/>
      <c r="F513" s="9"/>
      <c r="G513" s="9"/>
    </row>
    <row r="514">
      <c r="D514" s="9"/>
      <c r="E514" s="9"/>
      <c r="F514" s="9"/>
      <c r="G514" s="9"/>
    </row>
    <row r="515">
      <c r="D515" s="9"/>
      <c r="E515" s="9"/>
      <c r="F515" s="9"/>
      <c r="G515" s="9"/>
    </row>
    <row r="516">
      <c r="D516" s="9"/>
      <c r="E516" s="9"/>
      <c r="F516" s="9"/>
      <c r="G516" s="9"/>
    </row>
    <row r="517">
      <c r="D517" s="9"/>
      <c r="E517" s="9"/>
      <c r="F517" s="9"/>
      <c r="G517" s="9"/>
    </row>
    <row r="518">
      <c r="D518" s="9"/>
      <c r="E518" s="9"/>
      <c r="F518" s="9"/>
      <c r="G518" s="9"/>
    </row>
    <row r="519">
      <c r="D519" s="9"/>
      <c r="E519" s="9"/>
      <c r="F519" s="9"/>
      <c r="G519" s="9"/>
    </row>
    <row r="520">
      <c r="D520" s="9"/>
      <c r="E520" s="9"/>
      <c r="F520" s="9"/>
      <c r="G520" s="9"/>
    </row>
    <row r="521">
      <c r="D521" s="9"/>
      <c r="E521" s="9"/>
      <c r="F521" s="9"/>
      <c r="G521" s="9"/>
    </row>
    <row r="522">
      <c r="D522" s="9"/>
      <c r="E522" s="9"/>
      <c r="F522" s="9"/>
      <c r="G522" s="9"/>
    </row>
    <row r="523">
      <c r="D523" s="9"/>
      <c r="E523" s="9"/>
      <c r="F523" s="9"/>
      <c r="G523" s="9"/>
    </row>
    <row r="524">
      <c r="D524" s="9"/>
      <c r="E524" s="9"/>
      <c r="F524" s="9"/>
      <c r="G524" s="9"/>
    </row>
    <row r="525">
      <c r="D525" s="9"/>
      <c r="E525" s="9"/>
      <c r="F525" s="9"/>
      <c r="G525" s="9"/>
    </row>
    <row r="526">
      <c r="D526" s="9"/>
      <c r="E526" s="9"/>
      <c r="F526" s="9"/>
      <c r="G526" s="9"/>
    </row>
    <row r="527">
      <c r="D527" s="9"/>
      <c r="E527" s="9"/>
      <c r="F527" s="9"/>
      <c r="G527" s="9"/>
    </row>
    <row r="528">
      <c r="D528" s="9"/>
      <c r="E528" s="9"/>
      <c r="F528" s="9"/>
      <c r="G528" s="9"/>
    </row>
    <row r="529">
      <c r="D529" s="9"/>
      <c r="E529" s="9"/>
      <c r="F529" s="9"/>
      <c r="G529" s="9"/>
    </row>
    <row r="530">
      <c r="D530" s="9"/>
      <c r="E530" s="9"/>
      <c r="F530" s="9"/>
      <c r="G530" s="9"/>
    </row>
    <row r="531">
      <c r="D531" s="9"/>
      <c r="E531" s="9"/>
      <c r="F531" s="9"/>
      <c r="G531" s="9"/>
    </row>
    <row r="532">
      <c r="D532" s="9"/>
      <c r="E532" s="9"/>
      <c r="F532" s="9"/>
      <c r="G532" s="9"/>
    </row>
    <row r="533">
      <c r="D533" s="9"/>
      <c r="E533" s="9"/>
      <c r="F533" s="9"/>
      <c r="G533" s="9"/>
    </row>
    <row r="534">
      <c r="D534" s="9"/>
      <c r="E534" s="9"/>
      <c r="F534" s="9"/>
      <c r="G534" s="9"/>
    </row>
    <row r="535">
      <c r="D535" s="9"/>
      <c r="E535" s="9"/>
      <c r="F535" s="9"/>
      <c r="G535" s="9"/>
    </row>
    <row r="536">
      <c r="D536" s="9"/>
      <c r="E536" s="9"/>
      <c r="F536" s="9"/>
      <c r="G536" s="9"/>
    </row>
    <row r="537">
      <c r="D537" s="9"/>
      <c r="E537" s="9"/>
      <c r="F537" s="9"/>
      <c r="G537" s="9"/>
    </row>
    <row r="538">
      <c r="D538" s="9"/>
      <c r="E538" s="9"/>
      <c r="F538" s="9"/>
      <c r="G538" s="9"/>
    </row>
    <row r="539">
      <c r="D539" s="9"/>
      <c r="E539" s="9"/>
      <c r="F539" s="9"/>
      <c r="G539" s="9"/>
    </row>
    <row r="540">
      <c r="D540" s="9"/>
      <c r="E540" s="9"/>
      <c r="F540" s="9"/>
      <c r="G540" s="9"/>
    </row>
    <row r="541">
      <c r="D541" s="9"/>
      <c r="E541" s="9"/>
      <c r="F541" s="9"/>
      <c r="G541" s="9"/>
    </row>
    <row r="542">
      <c r="D542" s="9"/>
      <c r="E542" s="9"/>
      <c r="F542" s="9"/>
      <c r="G542" s="9"/>
    </row>
    <row r="543">
      <c r="D543" s="9"/>
      <c r="E543" s="9"/>
      <c r="F543" s="9"/>
      <c r="G543" s="9"/>
    </row>
    <row r="544">
      <c r="D544" s="9"/>
      <c r="E544" s="9"/>
      <c r="F544" s="9"/>
      <c r="G544" s="9"/>
    </row>
    <row r="545">
      <c r="D545" s="9"/>
      <c r="E545" s="9"/>
      <c r="F545" s="9"/>
      <c r="G545" s="9"/>
    </row>
    <row r="546">
      <c r="D546" s="9"/>
      <c r="E546" s="9"/>
      <c r="F546" s="9"/>
      <c r="G546" s="9"/>
    </row>
    <row r="547">
      <c r="D547" s="9"/>
      <c r="E547" s="9"/>
      <c r="F547" s="9"/>
      <c r="G547" s="9"/>
    </row>
    <row r="548">
      <c r="D548" s="9"/>
      <c r="E548" s="9"/>
      <c r="F548" s="9"/>
      <c r="G548" s="9"/>
    </row>
    <row r="549">
      <c r="D549" s="9"/>
      <c r="E549" s="9"/>
      <c r="F549" s="9"/>
      <c r="G549" s="9"/>
    </row>
    <row r="550">
      <c r="D550" s="9"/>
      <c r="E550" s="9"/>
      <c r="F550" s="9"/>
      <c r="G550" s="9"/>
    </row>
    <row r="551">
      <c r="D551" s="9"/>
      <c r="E551" s="9"/>
      <c r="F551" s="9"/>
      <c r="G551" s="9"/>
    </row>
    <row r="552">
      <c r="D552" s="9"/>
      <c r="E552" s="9"/>
      <c r="F552" s="9"/>
      <c r="G552" s="9"/>
    </row>
    <row r="553">
      <c r="D553" s="9"/>
      <c r="E553" s="9"/>
      <c r="F553" s="9"/>
      <c r="G553" s="9"/>
    </row>
    <row r="554">
      <c r="D554" s="9"/>
      <c r="E554" s="9"/>
      <c r="F554" s="9"/>
      <c r="G554" s="9"/>
    </row>
    <row r="555">
      <c r="D555" s="9"/>
      <c r="E555" s="9"/>
      <c r="F555" s="9"/>
      <c r="G555" s="9"/>
    </row>
    <row r="556">
      <c r="D556" s="9"/>
      <c r="E556" s="9"/>
      <c r="F556" s="9"/>
      <c r="G556" s="9"/>
    </row>
    <row r="557">
      <c r="D557" s="9"/>
      <c r="E557" s="9"/>
      <c r="F557" s="9"/>
      <c r="G557" s="9"/>
    </row>
    <row r="558">
      <c r="D558" s="9"/>
      <c r="E558" s="9"/>
      <c r="F558" s="9"/>
      <c r="G558" s="9"/>
    </row>
    <row r="559">
      <c r="D559" s="9"/>
      <c r="E559" s="9"/>
      <c r="F559" s="9"/>
      <c r="G559" s="9"/>
    </row>
    <row r="560">
      <c r="D560" s="9"/>
      <c r="E560" s="9"/>
      <c r="F560" s="9"/>
      <c r="G560" s="9"/>
    </row>
    <row r="561">
      <c r="D561" s="9"/>
      <c r="E561" s="9"/>
      <c r="F561" s="9"/>
      <c r="G561" s="9"/>
    </row>
    <row r="562">
      <c r="D562" s="9"/>
      <c r="E562" s="9"/>
      <c r="F562" s="9"/>
      <c r="G562" s="9"/>
    </row>
    <row r="563">
      <c r="D563" s="9"/>
      <c r="E563" s="9"/>
      <c r="F563" s="9"/>
      <c r="G563" s="9"/>
    </row>
    <row r="564">
      <c r="D564" s="9"/>
      <c r="E564" s="9"/>
      <c r="F564" s="9"/>
      <c r="G564" s="9"/>
    </row>
    <row r="565">
      <c r="D565" s="9"/>
      <c r="E565" s="9"/>
      <c r="F565" s="9"/>
      <c r="G565" s="9"/>
    </row>
    <row r="566">
      <c r="D566" s="9"/>
      <c r="E566" s="9"/>
      <c r="F566" s="9"/>
      <c r="G566" s="9"/>
    </row>
    <row r="567">
      <c r="D567" s="9"/>
      <c r="E567" s="9"/>
      <c r="F567" s="9"/>
      <c r="G567" s="9"/>
    </row>
    <row r="568">
      <c r="D568" s="9"/>
      <c r="E568" s="9"/>
      <c r="F568" s="9"/>
      <c r="G568" s="9"/>
    </row>
    <row r="569">
      <c r="D569" s="9"/>
      <c r="E569" s="9"/>
      <c r="F569" s="9"/>
      <c r="G569" s="9"/>
    </row>
    <row r="570">
      <c r="D570" s="9"/>
      <c r="E570" s="9"/>
      <c r="F570" s="9"/>
      <c r="G570" s="9"/>
    </row>
    <row r="571">
      <c r="D571" s="9"/>
      <c r="E571" s="9"/>
      <c r="F571" s="9"/>
      <c r="G571" s="9"/>
    </row>
    <row r="572">
      <c r="D572" s="9"/>
      <c r="E572" s="9"/>
      <c r="F572" s="9"/>
      <c r="G572" s="9"/>
    </row>
    <row r="573">
      <c r="D573" s="9"/>
      <c r="E573" s="9"/>
      <c r="F573" s="9"/>
      <c r="G573" s="9"/>
    </row>
    <row r="574">
      <c r="D574" s="9"/>
      <c r="E574" s="9"/>
      <c r="F574" s="9"/>
      <c r="G574" s="9"/>
    </row>
    <row r="575">
      <c r="D575" s="9"/>
      <c r="E575" s="9"/>
      <c r="F575" s="9"/>
      <c r="G575" s="9"/>
    </row>
    <row r="576">
      <c r="D576" s="9"/>
      <c r="E576" s="9"/>
      <c r="F576" s="9"/>
      <c r="G576" s="9"/>
    </row>
    <row r="577">
      <c r="D577" s="9"/>
      <c r="E577" s="9"/>
      <c r="F577" s="9"/>
      <c r="G577" s="9"/>
    </row>
    <row r="578">
      <c r="D578" s="9"/>
      <c r="E578" s="9"/>
      <c r="F578" s="9"/>
      <c r="G578" s="9"/>
    </row>
    <row r="579">
      <c r="D579" s="9"/>
      <c r="E579" s="9"/>
      <c r="F579" s="9"/>
      <c r="G579" s="9"/>
    </row>
    <row r="580">
      <c r="D580" s="9"/>
      <c r="E580" s="9"/>
      <c r="F580" s="9"/>
      <c r="G580" s="9"/>
    </row>
    <row r="581">
      <c r="D581" s="9"/>
      <c r="E581" s="9"/>
      <c r="F581" s="9"/>
      <c r="G581" s="9"/>
    </row>
    <row r="582">
      <c r="D582" s="9"/>
      <c r="E582" s="9"/>
      <c r="F582" s="9"/>
      <c r="G582" s="9"/>
    </row>
    <row r="583">
      <c r="D583" s="9"/>
      <c r="E583" s="9"/>
      <c r="F583" s="9"/>
      <c r="G583" s="9"/>
    </row>
    <row r="584">
      <c r="D584" s="9"/>
      <c r="E584" s="9"/>
      <c r="F584" s="9"/>
      <c r="G584" s="9"/>
    </row>
    <row r="585">
      <c r="D585" s="9"/>
      <c r="E585" s="9"/>
      <c r="F585" s="9"/>
      <c r="G585" s="9"/>
    </row>
    <row r="586">
      <c r="D586" s="9"/>
      <c r="E586" s="9"/>
      <c r="F586" s="9"/>
      <c r="G586" s="9"/>
    </row>
    <row r="587">
      <c r="D587" s="9"/>
      <c r="E587" s="9"/>
      <c r="F587" s="9"/>
      <c r="G587" s="9"/>
    </row>
    <row r="588">
      <c r="D588" s="9"/>
      <c r="E588" s="9"/>
      <c r="F588" s="9"/>
      <c r="G588" s="9"/>
    </row>
    <row r="589">
      <c r="D589" s="9"/>
      <c r="E589" s="9"/>
      <c r="F589" s="9"/>
      <c r="G589" s="9"/>
    </row>
    <row r="590">
      <c r="D590" s="9"/>
      <c r="E590" s="9"/>
      <c r="F590" s="9"/>
      <c r="G590" s="9"/>
    </row>
    <row r="591">
      <c r="D591" s="9"/>
      <c r="E591" s="9"/>
      <c r="F591" s="9"/>
      <c r="G591" s="9"/>
    </row>
    <row r="592">
      <c r="D592" s="9"/>
      <c r="E592" s="9"/>
      <c r="F592" s="9"/>
      <c r="G592" s="9"/>
    </row>
    <row r="593">
      <c r="D593" s="9"/>
      <c r="E593" s="9"/>
      <c r="F593" s="9"/>
      <c r="G593" s="9"/>
    </row>
    <row r="594">
      <c r="D594" s="9"/>
      <c r="E594" s="9"/>
      <c r="F594" s="9"/>
      <c r="G594" s="9"/>
    </row>
    <row r="595">
      <c r="D595" s="9"/>
      <c r="E595" s="9"/>
      <c r="F595" s="9"/>
      <c r="G595" s="9"/>
    </row>
    <row r="596">
      <c r="D596" s="9"/>
      <c r="E596" s="9"/>
      <c r="F596" s="9"/>
      <c r="G596" s="9"/>
    </row>
    <row r="597">
      <c r="D597" s="9"/>
      <c r="E597" s="9"/>
      <c r="F597" s="9"/>
      <c r="G597" s="9"/>
    </row>
    <row r="598">
      <c r="D598" s="9"/>
      <c r="E598" s="9"/>
      <c r="F598" s="9"/>
      <c r="G598" s="9"/>
    </row>
    <row r="599">
      <c r="D599" s="9"/>
      <c r="E599" s="9"/>
      <c r="F599" s="9"/>
      <c r="G599" s="9"/>
    </row>
    <row r="600">
      <c r="D600" s="9"/>
      <c r="E600" s="9"/>
      <c r="F600" s="9"/>
      <c r="G600" s="9"/>
    </row>
    <row r="601">
      <c r="D601" s="9"/>
      <c r="E601" s="9"/>
      <c r="F601" s="9"/>
      <c r="G601" s="9"/>
    </row>
    <row r="602">
      <c r="D602" s="9"/>
      <c r="E602" s="9"/>
      <c r="F602" s="9"/>
      <c r="G602" s="9"/>
    </row>
    <row r="603">
      <c r="D603" s="9"/>
      <c r="E603" s="9"/>
      <c r="F603" s="9"/>
      <c r="G603" s="9"/>
    </row>
    <row r="604">
      <c r="D604" s="9"/>
      <c r="E604" s="9"/>
      <c r="F604" s="9"/>
      <c r="G604" s="9"/>
    </row>
    <row r="605">
      <c r="D605" s="9"/>
      <c r="E605" s="9"/>
      <c r="F605" s="9"/>
      <c r="G605" s="9"/>
    </row>
    <row r="606">
      <c r="D606" s="9"/>
      <c r="E606" s="9"/>
      <c r="F606" s="9"/>
      <c r="G606" s="9"/>
    </row>
    <row r="607">
      <c r="D607" s="9"/>
      <c r="E607" s="9"/>
      <c r="F607" s="9"/>
      <c r="G607" s="9"/>
    </row>
    <row r="608">
      <c r="D608" s="9"/>
      <c r="E608" s="9"/>
      <c r="F608" s="9"/>
      <c r="G608" s="9"/>
    </row>
    <row r="609">
      <c r="D609" s="9"/>
      <c r="E609" s="9"/>
      <c r="F609" s="9"/>
      <c r="G609" s="9"/>
    </row>
    <row r="610">
      <c r="D610" s="9"/>
      <c r="E610" s="9"/>
      <c r="F610" s="9"/>
      <c r="G610" s="9"/>
    </row>
    <row r="611">
      <c r="D611" s="9"/>
      <c r="E611" s="9"/>
      <c r="F611" s="9"/>
      <c r="G611" s="9"/>
    </row>
    <row r="612">
      <c r="D612" s="9"/>
      <c r="E612" s="9"/>
      <c r="F612" s="9"/>
      <c r="G612" s="9"/>
    </row>
    <row r="613">
      <c r="D613" s="9"/>
      <c r="E613" s="9"/>
      <c r="F613" s="9"/>
      <c r="G613" s="9"/>
    </row>
    <row r="614">
      <c r="D614" s="9"/>
      <c r="E614" s="9"/>
      <c r="F614" s="9"/>
      <c r="G614" s="9"/>
    </row>
    <row r="615">
      <c r="D615" s="9"/>
      <c r="E615" s="9"/>
      <c r="F615" s="9"/>
      <c r="G615" s="9"/>
    </row>
    <row r="616">
      <c r="D616" s="9"/>
      <c r="E616" s="9"/>
      <c r="F616" s="9"/>
      <c r="G616" s="9"/>
    </row>
    <row r="617">
      <c r="D617" s="9"/>
      <c r="E617" s="9"/>
      <c r="F617" s="9"/>
      <c r="G617" s="9"/>
    </row>
    <row r="618">
      <c r="D618" s="9"/>
      <c r="E618" s="9"/>
      <c r="F618" s="9"/>
      <c r="G618" s="9"/>
    </row>
    <row r="619">
      <c r="D619" s="9"/>
      <c r="E619" s="9"/>
      <c r="F619" s="9"/>
      <c r="G619" s="9"/>
    </row>
    <row r="620">
      <c r="D620" s="9"/>
      <c r="E620" s="9"/>
      <c r="F620" s="9"/>
      <c r="G620" s="9"/>
    </row>
    <row r="621">
      <c r="D621" s="9"/>
      <c r="E621" s="9"/>
      <c r="F621" s="9"/>
      <c r="G621" s="9"/>
    </row>
    <row r="622">
      <c r="D622" s="9"/>
      <c r="E622" s="9"/>
      <c r="F622" s="9"/>
      <c r="G622" s="9"/>
    </row>
    <row r="623">
      <c r="D623" s="9"/>
      <c r="E623" s="9"/>
      <c r="F623" s="9"/>
      <c r="G623" s="9"/>
    </row>
    <row r="624">
      <c r="D624" s="9"/>
      <c r="E624" s="9"/>
      <c r="F624" s="9"/>
      <c r="G624" s="9"/>
    </row>
    <row r="625">
      <c r="D625" s="9"/>
      <c r="E625" s="9"/>
      <c r="F625" s="9"/>
      <c r="G625" s="9"/>
    </row>
    <row r="626">
      <c r="D626" s="9"/>
      <c r="E626" s="9"/>
      <c r="F626" s="9"/>
      <c r="G626" s="9"/>
    </row>
    <row r="627">
      <c r="D627" s="9"/>
      <c r="E627" s="9"/>
      <c r="F627" s="9"/>
      <c r="G627" s="9"/>
    </row>
    <row r="628">
      <c r="D628" s="9"/>
      <c r="E628" s="9"/>
      <c r="F628" s="9"/>
      <c r="G628" s="9"/>
    </row>
    <row r="629">
      <c r="D629" s="9"/>
      <c r="E629" s="9"/>
      <c r="F629" s="9"/>
      <c r="G629" s="9"/>
    </row>
    <row r="630">
      <c r="D630" s="9"/>
      <c r="E630" s="9"/>
      <c r="F630" s="9"/>
      <c r="G630" s="9"/>
    </row>
    <row r="631">
      <c r="D631" s="9"/>
      <c r="E631" s="9"/>
      <c r="F631" s="9"/>
      <c r="G631" s="9"/>
    </row>
    <row r="632">
      <c r="D632" s="9"/>
      <c r="E632" s="9"/>
      <c r="F632" s="9"/>
      <c r="G632" s="9"/>
    </row>
    <row r="633">
      <c r="D633" s="9"/>
      <c r="E633" s="9"/>
      <c r="F633" s="9"/>
      <c r="G633" s="9"/>
    </row>
    <row r="634">
      <c r="D634" s="9"/>
      <c r="E634" s="9"/>
      <c r="F634" s="9"/>
      <c r="G634" s="9"/>
    </row>
    <row r="635">
      <c r="D635" s="9"/>
      <c r="E635" s="9"/>
      <c r="F635" s="9"/>
      <c r="G635" s="9"/>
    </row>
    <row r="636">
      <c r="D636" s="9"/>
      <c r="E636" s="9"/>
      <c r="F636" s="9"/>
      <c r="G636" s="9"/>
    </row>
    <row r="637">
      <c r="D637" s="9"/>
      <c r="E637" s="9"/>
      <c r="F637" s="9"/>
      <c r="G637" s="9"/>
    </row>
    <row r="638">
      <c r="D638" s="9"/>
      <c r="E638" s="9"/>
      <c r="F638" s="9"/>
      <c r="G638" s="9"/>
    </row>
    <row r="639">
      <c r="D639" s="9"/>
      <c r="E639" s="9"/>
      <c r="F639" s="9"/>
      <c r="G639" s="9"/>
    </row>
    <row r="640">
      <c r="D640" s="9"/>
      <c r="E640" s="9"/>
      <c r="F640" s="9"/>
      <c r="G640" s="9"/>
    </row>
    <row r="641">
      <c r="D641" s="9"/>
      <c r="E641" s="9"/>
      <c r="F641" s="9"/>
      <c r="G641" s="9"/>
    </row>
    <row r="642">
      <c r="D642" s="9"/>
      <c r="E642" s="9"/>
      <c r="F642" s="9"/>
      <c r="G642" s="9"/>
    </row>
    <row r="643">
      <c r="D643" s="9"/>
      <c r="E643" s="9"/>
      <c r="F643" s="9"/>
      <c r="G643" s="9"/>
    </row>
    <row r="644">
      <c r="D644" s="9"/>
      <c r="E644" s="9"/>
      <c r="F644" s="9"/>
      <c r="G644" s="9"/>
    </row>
    <row r="645">
      <c r="D645" s="9"/>
      <c r="E645" s="9"/>
      <c r="F645" s="9"/>
      <c r="G645" s="9"/>
    </row>
    <row r="646">
      <c r="D646" s="9"/>
      <c r="E646" s="9"/>
      <c r="F646" s="9"/>
      <c r="G646" s="9"/>
    </row>
    <row r="647">
      <c r="D647" s="9"/>
      <c r="E647" s="9"/>
      <c r="F647" s="9"/>
      <c r="G647" s="9"/>
    </row>
    <row r="648">
      <c r="D648" s="9"/>
      <c r="E648" s="9"/>
      <c r="F648" s="9"/>
      <c r="G648" s="9"/>
    </row>
    <row r="649">
      <c r="D649" s="9"/>
      <c r="E649" s="9"/>
      <c r="F649" s="9"/>
      <c r="G649" s="9"/>
    </row>
    <row r="650">
      <c r="D650" s="9"/>
      <c r="E650" s="9"/>
      <c r="F650" s="9"/>
      <c r="G650" s="9"/>
    </row>
    <row r="651">
      <c r="D651" s="9"/>
      <c r="E651" s="9"/>
      <c r="F651" s="9"/>
      <c r="G651" s="9"/>
    </row>
    <row r="652">
      <c r="D652" s="9"/>
      <c r="E652" s="9"/>
      <c r="F652" s="9"/>
      <c r="G652" s="9"/>
    </row>
    <row r="653">
      <c r="D653" s="9"/>
      <c r="E653" s="9"/>
      <c r="F653" s="9"/>
      <c r="G653" s="9"/>
    </row>
    <row r="654">
      <c r="D654" s="9"/>
      <c r="E654" s="9"/>
      <c r="F654" s="9"/>
      <c r="G654" s="9"/>
    </row>
    <row r="655">
      <c r="D655" s="9"/>
      <c r="E655" s="9"/>
      <c r="F655" s="9"/>
      <c r="G655" s="9"/>
    </row>
    <row r="656">
      <c r="D656" s="9"/>
      <c r="E656" s="9"/>
      <c r="F656" s="9"/>
      <c r="G656" s="9"/>
    </row>
    <row r="657">
      <c r="D657" s="9"/>
      <c r="E657" s="9"/>
      <c r="F657" s="9"/>
      <c r="G657" s="9"/>
    </row>
    <row r="658">
      <c r="D658" s="9"/>
      <c r="E658" s="9"/>
      <c r="F658" s="9"/>
      <c r="G658" s="9"/>
    </row>
    <row r="659">
      <c r="D659" s="9"/>
      <c r="E659" s="9"/>
      <c r="F659" s="9"/>
      <c r="G659" s="9"/>
    </row>
    <row r="660">
      <c r="D660" s="9"/>
      <c r="E660" s="9"/>
      <c r="F660" s="9"/>
      <c r="G660" s="9"/>
    </row>
    <row r="661">
      <c r="D661" s="9"/>
      <c r="E661" s="9"/>
      <c r="F661" s="9"/>
      <c r="G661" s="9"/>
    </row>
    <row r="662">
      <c r="D662" s="9"/>
      <c r="E662" s="9"/>
      <c r="F662" s="9"/>
      <c r="G662" s="9"/>
    </row>
    <row r="663">
      <c r="D663" s="9"/>
      <c r="E663" s="9"/>
      <c r="F663" s="9"/>
      <c r="G663" s="9"/>
    </row>
    <row r="664">
      <c r="D664" s="9"/>
      <c r="E664" s="9"/>
      <c r="F664" s="9"/>
      <c r="G664" s="9"/>
    </row>
    <row r="665">
      <c r="D665" s="9"/>
      <c r="E665" s="9"/>
      <c r="F665" s="9"/>
      <c r="G665" s="9"/>
    </row>
    <row r="666">
      <c r="D666" s="9"/>
      <c r="E666" s="9"/>
      <c r="F666" s="9"/>
      <c r="G666" s="9"/>
    </row>
    <row r="667">
      <c r="D667" s="9"/>
      <c r="E667" s="9"/>
      <c r="F667" s="9"/>
      <c r="G667" s="9"/>
    </row>
    <row r="668">
      <c r="D668" s="9"/>
      <c r="E668" s="9"/>
      <c r="F668" s="9"/>
      <c r="G668" s="9"/>
    </row>
    <row r="669">
      <c r="D669" s="9"/>
      <c r="E669" s="9"/>
      <c r="F669" s="9"/>
      <c r="G669" s="9"/>
    </row>
    <row r="670">
      <c r="D670" s="9"/>
      <c r="E670" s="9"/>
      <c r="F670" s="9"/>
      <c r="G670" s="9"/>
    </row>
    <row r="671">
      <c r="D671" s="9"/>
      <c r="E671" s="9"/>
      <c r="F671" s="9"/>
      <c r="G671" s="9"/>
    </row>
    <row r="672">
      <c r="D672" s="9"/>
      <c r="E672" s="9"/>
      <c r="F672" s="9"/>
      <c r="G672" s="9"/>
    </row>
    <row r="673">
      <c r="D673" s="9"/>
      <c r="E673" s="9"/>
      <c r="F673" s="9"/>
      <c r="G673" s="9"/>
    </row>
    <row r="674">
      <c r="D674" s="9"/>
      <c r="E674" s="9"/>
      <c r="F674" s="9"/>
      <c r="G674" s="9"/>
    </row>
    <row r="675">
      <c r="D675" s="9"/>
      <c r="E675" s="9"/>
      <c r="F675" s="9"/>
      <c r="G675" s="9"/>
    </row>
    <row r="676">
      <c r="D676" s="9"/>
      <c r="E676" s="9"/>
      <c r="F676" s="9"/>
      <c r="G676" s="9"/>
    </row>
    <row r="677">
      <c r="D677" s="9"/>
      <c r="E677" s="9"/>
      <c r="F677" s="9"/>
      <c r="G677" s="9"/>
    </row>
    <row r="678">
      <c r="D678" s="9"/>
      <c r="E678" s="9"/>
      <c r="F678" s="9"/>
      <c r="G678" s="9"/>
    </row>
    <row r="679">
      <c r="D679" s="9"/>
      <c r="E679" s="9"/>
      <c r="F679" s="9"/>
      <c r="G679" s="9"/>
    </row>
    <row r="680">
      <c r="D680" s="9"/>
      <c r="E680" s="9"/>
      <c r="F680" s="9"/>
      <c r="G680" s="9"/>
    </row>
    <row r="681">
      <c r="D681" s="9"/>
      <c r="E681" s="9"/>
      <c r="F681" s="9"/>
      <c r="G681" s="9"/>
    </row>
    <row r="682">
      <c r="D682" s="9"/>
      <c r="E682" s="9"/>
      <c r="F682" s="9"/>
      <c r="G682" s="9"/>
    </row>
    <row r="683">
      <c r="D683" s="9"/>
      <c r="E683" s="9"/>
      <c r="F683" s="9"/>
      <c r="G683" s="9"/>
    </row>
    <row r="684">
      <c r="D684" s="9"/>
      <c r="E684" s="9"/>
      <c r="F684" s="9"/>
      <c r="G684" s="9"/>
    </row>
    <row r="685">
      <c r="D685" s="9"/>
      <c r="E685" s="9"/>
      <c r="F685" s="9"/>
      <c r="G685" s="9"/>
    </row>
    <row r="686">
      <c r="D686" s="9"/>
      <c r="E686" s="9"/>
      <c r="F686" s="9"/>
      <c r="G686" s="9"/>
    </row>
    <row r="687">
      <c r="D687" s="9"/>
      <c r="E687" s="9"/>
      <c r="F687" s="9"/>
      <c r="G687" s="9"/>
    </row>
    <row r="688">
      <c r="D688" s="9"/>
      <c r="E688" s="9"/>
      <c r="F688" s="9"/>
      <c r="G688" s="9"/>
    </row>
    <row r="689">
      <c r="D689" s="9"/>
      <c r="E689" s="9"/>
      <c r="F689" s="9"/>
      <c r="G689" s="9"/>
    </row>
    <row r="690">
      <c r="D690" s="9"/>
      <c r="E690" s="9"/>
      <c r="F690" s="9"/>
      <c r="G690" s="9"/>
    </row>
    <row r="691">
      <c r="D691" s="9"/>
      <c r="E691" s="9"/>
      <c r="F691" s="9"/>
      <c r="G691" s="9"/>
    </row>
    <row r="692">
      <c r="D692" s="9"/>
      <c r="E692" s="9"/>
      <c r="F692" s="9"/>
      <c r="G692" s="9"/>
    </row>
    <row r="693">
      <c r="D693" s="9"/>
      <c r="E693" s="9"/>
      <c r="F693" s="9"/>
      <c r="G693" s="9"/>
    </row>
    <row r="694">
      <c r="D694" s="9"/>
      <c r="E694" s="9"/>
      <c r="F694" s="9"/>
      <c r="G694" s="9"/>
    </row>
    <row r="695">
      <c r="D695" s="9"/>
      <c r="E695" s="9"/>
      <c r="F695" s="9"/>
      <c r="G695" s="9"/>
    </row>
    <row r="696">
      <c r="D696" s="9"/>
      <c r="E696" s="9"/>
      <c r="F696" s="9"/>
      <c r="G696" s="9"/>
    </row>
    <row r="697">
      <c r="D697" s="9"/>
      <c r="E697" s="9"/>
      <c r="F697" s="9"/>
      <c r="G697" s="9"/>
    </row>
    <row r="698">
      <c r="D698" s="9"/>
      <c r="E698" s="9"/>
      <c r="F698" s="9"/>
      <c r="G698" s="9"/>
    </row>
    <row r="699">
      <c r="D699" s="9"/>
      <c r="E699" s="9"/>
      <c r="F699" s="9"/>
      <c r="G699" s="9"/>
    </row>
    <row r="700">
      <c r="D700" s="9"/>
      <c r="E700" s="9"/>
      <c r="F700" s="9"/>
      <c r="G700" s="9"/>
    </row>
    <row r="701">
      <c r="D701" s="9"/>
      <c r="E701" s="9"/>
      <c r="F701" s="9"/>
      <c r="G701" s="9"/>
    </row>
    <row r="702">
      <c r="D702" s="9"/>
      <c r="E702" s="9"/>
      <c r="F702" s="9"/>
      <c r="G702" s="9"/>
    </row>
    <row r="703">
      <c r="D703" s="9"/>
      <c r="E703" s="9"/>
      <c r="F703" s="9"/>
      <c r="G703" s="9"/>
    </row>
    <row r="704">
      <c r="D704" s="9"/>
      <c r="E704" s="9"/>
      <c r="F704" s="9"/>
      <c r="G704" s="9"/>
    </row>
    <row r="705">
      <c r="D705" s="9"/>
      <c r="E705" s="9"/>
      <c r="F705" s="9"/>
      <c r="G705" s="9"/>
    </row>
    <row r="706">
      <c r="D706" s="9"/>
      <c r="E706" s="9"/>
      <c r="F706" s="9"/>
      <c r="G706" s="9"/>
    </row>
    <row r="707">
      <c r="D707" s="9"/>
      <c r="E707" s="9"/>
      <c r="F707" s="9"/>
      <c r="G707" s="9"/>
    </row>
    <row r="708">
      <c r="D708" s="9"/>
      <c r="E708" s="9"/>
      <c r="F708" s="9"/>
      <c r="G708" s="9"/>
    </row>
    <row r="709">
      <c r="D709" s="9"/>
      <c r="E709" s="9"/>
      <c r="F709" s="9"/>
      <c r="G709" s="9"/>
    </row>
    <row r="710">
      <c r="D710" s="9"/>
      <c r="E710" s="9"/>
      <c r="F710" s="9"/>
      <c r="G710" s="9"/>
    </row>
    <row r="711">
      <c r="D711" s="9"/>
      <c r="E711" s="9"/>
      <c r="F711" s="9"/>
      <c r="G711" s="9"/>
    </row>
    <row r="712">
      <c r="D712" s="9"/>
      <c r="E712" s="9"/>
      <c r="F712" s="9"/>
      <c r="G712" s="9"/>
    </row>
    <row r="713">
      <c r="D713" s="9"/>
      <c r="E713" s="9"/>
      <c r="F713" s="9"/>
      <c r="G713" s="9"/>
    </row>
    <row r="714">
      <c r="D714" s="9"/>
      <c r="E714" s="9"/>
      <c r="F714" s="9"/>
      <c r="G714" s="9"/>
    </row>
    <row r="715">
      <c r="D715" s="9"/>
      <c r="E715" s="9"/>
      <c r="F715" s="9"/>
      <c r="G715" s="9"/>
    </row>
    <row r="716">
      <c r="D716" s="9"/>
      <c r="E716" s="9"/>
      <c r="F716" s="9"/>
      <c r="G716" s="9"/>
    </row>
    <row r="717">
      <c r="D717" s="9"/>
      <c r="E717" s="9"/>
      <c r="F717" s="9"/>
      <c r="G717" s="9"/>
    </row>
    <row r="718">
      <c r="D718" s="9"/>
      <c r="E718" s="9"/>
      <c r="F718" s="9"/>
      <c r="G718" s="9"/>
    </row>
    <row r="719">
      <c r="D719" s="9"/>
      <c r="E719" s="9"/>
      <c r="F719" s="9"/>
      <c r="G719" s="9"/>
    </row>
    <row r="720">
      <c r="D720" s="9"/>
      <c r="E720" s="9"/>
      <c r="F720" s="9"/>
      <c r="G720" s="9"/>
    </row>
    <row r="721">
      <c r="D721" s="9"/>
      <c r="E721" s="9"/>
      <c r="F721" s="9"/>
      <c r="G721" s="9"/>
    </row>
    <row r="722">
      <c r="D722" s="9"/>
      <c r="E722" s="9"/>
      <c r="F722" s="9"/>
      <c r="G722" s="9"/>
    </row>
    <row r="723">
      <c r="D723" s="9"/>
      <c r="E723" s="9"/>
      <c r="F723" s="9"/>
      <c r="G723" s="9"/>
    </row>
    <row r="724">
      <c r="D724" s="9"/>
      <c r="E724" s="9"/>
      <c r="F724" s="9"/>
      <c r="G724" s="9"/>
    </row>
    <row r="725">
      <c r="D725" s="9"/>
      <c r="E725" s="9"/>
      <c r="F725" s="9"/>
      <c r="G725" s="9"/>
    </row>
    <row r="726">
      <c r="D726" s="9"/>
      <c r="E726" s="9"/>
      <c r="F726" s="9"/>
      <c r="G726" s="9"/>
    </row>
    <row r="727">
      <c r="D727" s="9"/>
      <c r="E727" s="9"/>
      <c r="F727" s="9"/>
      <c r="G727" s="9"/>
    </row>
    <row r="728">
      <c r="D728" s="9"/>
      <c r="E728" s="9"/>
      <c r="F728" s="9"/>
      <c r="G728" s="9"/>
    </row>
    <row r="729">
      <c r="D729" s="9"/>
      <c r="E729" s="9"/>
      <c r="F729" s="9"/>
      <c r="G729" s="9"/>
    </row>
    <row r="730">
      <c r="D730" s="9"/>
      <c r="E730" s="9"/>
      <c r="F730" s="9"/>
      <c r="G730" s="9"/>
    </row>
    <row r="731">
      <c r="D731" s="9"/>
      <c r="E731" s="9"/>
      <c r="F731" s="9"/>
      <c r="G731" s="9"/>
    </row>
    <row r="732">
      <c r="D732" s="9"/>
      <c r="E732" s="9"/>
      <c r="F732" s="9"/>
      <c r="G732" s="9"/>
    </row>
    <row r="733">
      <c r="D733" s="9"/>
      <c r="E733" s="9"/>
      <c r="F733" s="9"/>
      <c r="G733" s="9"/>
    </row>
    <row r="734">
      <c r="D734" s="9"/>
      <c r="E734" s="9"/>
      <c r="F734" s="9"/>
      <c r="G734" s="9"/>
    </row>
    <row r="735">
      <c r="D735" s="9"/>
      <c r="E735" s="9"/>
      <c r="F735" s="9"/>
      <c r="G735" s="9"/>
    </row>
    <row r="736">
      <c r="D736" s="9"/>
      <c r="E736" s="9"/>
      <c r="F736" s="9"/>
      <c r="G736" s="9"/>
    </row>
    <row r="737">
      <c r="D737" s="9"/>
      <c r="E737" s="9"/>
      <c r="F737" s="9"/>
      <c r="G737" s="9"/>
    </row>
    <row r="738">
      <c r="D738" s="9"/>
      <c r="E738" s="9"/>
      <c r="F738" s="9"/>
      <c r="G738" s="9"/>
    </row>
    <row r="739">
      <c r="D739" s="9"/>
      <c r="E739" s="9"/>
      <c r="F739" s="9"/>
      <c r="G739" s="9"/>
    </row>
    <row r="740">
      <c r="D740" s="9"/>
      <c r="E740" s="9"/>
      <c r="F740" s="9"/>
      <c r="G740" s="9"/>
    </row>
    <row r="741">
      <c r="D741" s="9"/>
      <c r="E741" s="9"/>
      <c r="F741" s="9"/>
      <c r="G741" s="9"/>
    </row>
    <row r="742">
      <c r="D742" s="9"/>
      <c r="E742" s="9"/>
      <c r="F742" s="9"/>
      <c r="G742" s="9"/>
    </row>
    <row r="743">
      <c r="D743" s="9"/>
      <c r="E743" s="9"/>
      <c r="F743" s="9"/>
      <c r="G743" s="9"/>
    </row>
    <row r="744">
      <c r="D744" s="9"/>
      <c r="E744" s="9"/>
      <c r="F744" s="9"/>
      <c r="G744" s="9"/>
    </row>
    <row r="745">
      <c r="D745" s="9"/>
      <c r="E745" s="9"/>
      <c r="F745" s="9"/>
      <c r="G745" s="9"/>
    </row>
    <row r="746">
      <c r="D746" s="9"/>
      <c r="E746" s="9"/>
      <c r="F746" s="9"/>
      <c r="G746" s="9"/>
    </row>
    <row r="747">
      <c r="D747" s="9"/>
      <c r="E747" s="9"/>
      <c r="F747" s="9"/>
      <c r="G747" s="9"/>
    </row>
    <row r="748">
      <c r="D748" s="9"/>
      <c r="E748" s="9"/>
      <c r="F748" s="9"/>
      <c r="G748" s="9"/>
    </row>
    <row r="749">
      <c r="D749" s="9"/>
      <c r="E749" s="9"/>
      <c r="F749" s="9"/>
      <c r="G749" s="9"/>
    </row>
    <row r="750">
      <c r="D750" s="9"/>
      <c r="E750" s="9"/>
      <c r="F750" s="9"/>
      <c r="G750" s="9"/>
    </row>
    <row r="751">
      <c r="D751" s="9"/>
      <c r="E751" s="9"/>
      <c r="F751" s="9"/>
      <c r="G751" s="9"/>
    </row>
    <row r="752">
      <c r="D752" s="9"/>
      <c r="E752" s="9"/>
      <c r="F752" s="9"/>
      <c r="G752" s="9"/>
    </row>
    <row r="753">
      <c r="D753" s="9"/>
      <c r="E753" s="9"/>
      <c r="F753" s="9"/>
      <c r="G753" s="9"/>
    </row>
    <row r="754">
      <c r="D754" s="9"/>
      <c r="E754" s="9"/>
      <c r="F754" s="9"/>
      <c r="G754" s="9"/>
    </row>
    <row r="755">
      <c r="D755" s="9"/>
      <c r="E755" s="9"/>
      <c r="F755" s="9"/>
      <c r="G755" s="9"/>
    </row>
    <row r="756">
      <c r="D756" s="9"/>
      <c r="E756" s="9"/>
      <c r="F756" s="9"/>
      <c r="G756" s="9"/>
    </row>
    <row r="757">
      <c r="D757" s="9"/>
      <c r="E757" s="9"/>
      <c r="F757" s="9"/>
      <c r="G757" s="9"/>
    </row>
    <row r="758">
      <c r="D758" s="9"/>
      <c r="E758" s="9"/>
      <c r="F758" s="9"/>
      <c r="G758" s="9"/>
    </row>
    <row r="759">
      <c r="D759" s="9"/>
      <c r="E759" s="9"/>
      <c r="F759" s="9"/>
      <c r="G759" s="9"/>
    </row>
    <row r="760">
      <c r="D760" s="9"/>
      <c r="E760" s="9"/>
      <c r="F760" s="9"/>
      <c r="G760" s="9"/>
    </row>
    <row r="761">
      <c r="D761" s="9"/>
      <c r="E761" s="9"/>
      <c r="F761" s="9"/>
      <c r="G761" s="9"/>
    </row>
    <row r="762">
      <c r="D762" s="9"/>
      <c r="E762" s="9"/>
      <c r="F762" s="9"/>
      <c r="G762" s="9"/>
    </row>
    <row r="763">
      <c r="D763" s="9"/>
      <c r="E763" s="9"/>
      <c r="F763" s="9"/>
      <c r="G763" s="9"/>
    </row>
    <row r="764">
      <c r="D764" s="9"/>
      <c r="E764" s="9"/>
      <c r="F764" s="9"/>
      <c r="G764" s="9"/>
    </row>
    <row r="765">
      <c r="D765" s="9"/>
      <c r="E765" s="9"/>
      <c r="F765" s="9"/>
      <c r="G765" s="9"/>
    </row>
    <row r="766">
      <c r="D766" s="9"/>
      <c r="E766" s="9"/>
      <c r="F766" s="9"/>
      <c r="G766" s="9"/>
    </row>
    <row r="767">
      <c r="D767" s="9"/>
      <c r="E767" s="9"/>
      <c r="F767" s="9"/>
      <c r="G767" s="9"/>
    </row>
    <row r="768">
      <c r="D768" s="9"/>
      <c r="E768" s="9"/>
      <c r="F768" s="9"/>
      <c r="G768" s="9"/>
    </row>
    <row r="769">
      <c r="D769" s="9"/>
      <c r="E769" s="9"/>
      <c r="F769" s="9"/>
      <c r="G769" s="9"/>
    </row>
    <row r="770">
      <c r="D770" s="9"/>
      <c r="E770" s="9"/>
      <c r="F770" s="9"/>
      <c r="G770" s="9"/>
    </row>
    <row r="771">
      <c r="D771" s="9"/>
      <c r="E771" s="9"/>
      <c r="F771" s="9"/>
      <c r="G771" s="9"/>
    </row>
    <row r="772">
      <c r="D772" s="9"/>
      <c r="E772" s="9"/>
      <c r="F772" s="9"/>
      <c r="G772" s="9"/>
    </row>
    <row r="773">
      <c r="D773" s="9"/>
      <c r="E773" s="9"/>
      <c r="F773" s="9"/>
      <c r="G773" s="9"/>
    </row>
    <row r="774">
      <c r="D774" s="9"/>
      <c r="E774" s="9"/>
      <c r="F774" s="9"/>
      <c r="G774" s="9"/>
    </row>
    <row r="775">
      <c r="D775" s="9"/>
      <c r="E775" s="9"/>
      <c r="F775" s="9"/>
      <c r="G775" s="9"/>
    </row>
    <row r="776">
      <c r="D776" s="9"/>
      <c r="E776" s="9"/>
      <c r="F776" s="9"/>
      <c r="G776" s="9"/>
    </row>
    <row r="777">
      <c r="D777" s="9"/>
      <c r="E777" s="9"/>
      <c r="F777" s="9"/>
      <c r="G777" s="9"/>
    </row>
    <row r="778">
      <c r="D778" s="9"/>
      <c r="E778" s="9"/>
      <c r="F778" s="9"/>
      <c r="G778" s="9"/>
    </row>
    <row r="779">
      <c r="D779" s="9"/>
      <c r="E779" s="9"/>
      <c r="F779" s="9"/>
      <c r="G779" s="9"/>
    </row>
    <row r="780">
      <c r="D780" s="9"/>
      <c r="E780" s="9"/>
      <c r="F780" s="9"/>
      <c r="G780" s="9"/>
    </row>
    <row r="781">
      <c r="D781" s="9"/>
      <c r="E781" s="9"/>
      <c r="F781" s="9"/>
      <c r="G781" s="9"/>
    </row>
    <row r="782">
      <c r="D782" s="9"/>
      <c r="E782" s="9"/>
      <c r="F782" s="9"/>
      <c r="G782" s="9"/>
    </row>
    <row r="783">
      <c r="D783" s="9"/>
      <c r="E783" s="9"/>
      <c r="F783" s="9"/>
      <c r="G783" s="9"/>
    </row>
    <row r="784">
      <c r="D784" s="9"/>
      <c r="E784" s="9"/>
      <c r="F784" s="9"/>
      <c r="G784" s="9"/>
    </row>
    <row r="785">
      <c r="D785" s="9"/>
      <c r="E785" s="9"/>
      <c r="F785" s="9"/>
      <c r="G785" s="9"/>
    </row>
    <row r="786">
      <c r="D786" s="9"/>
      <c r="E786" s="9"/>
      <c r="F786" s="9"/>
      <c r="G786" s="9"/>
    </row>
    <row r="787">
      <c r="D787" s="9"/>
      <c r="E787" s="9"/>
      <c r="F787" s="9"/>
      <c r="G787" s="9"/>
    </row>
    <row r="788">
      <c r="D788" s="9"/>
      <c r="E788" s="9"/>
      <c r="F788" s="9"/>
      <c r="G788" s="9"/>
    </row>
    <row r="789">
      <c r="D789" s="9"/>
      <c r="E789" s="9"/>
      <c r="F789" s="9"/>
      <c r="G789" s="9"/>
    </row>
    <row r="790">
      <c r="D790" s="9"/>
      <c r="E790" s="9"/>
      <c r="F790" s="9"/>
      <c r="G790" s="9"/>
    </row>
    <row r="791">
      <c r="D791" s="9"/>
      <c r="E791" s="9"/>
      <c r="F791" s="9"/>
      <c r="G791" s="9"/>
    </row>
    <row r="792">
      <c r="D792" s="9"/>
      <c r="E792" s="9"/>
      <c r="F792" s="9"/>
      <c r="G792" s="9"/>
    </row>
    <row r="793">
      <c r="D793" s="9"/>
      <c r="E793" s="9"/>
      <c r="F793" s="9"/>
      <c r="G793" s="9"/>
    </row>
    <row r="794">
      <c r="D794" s="9"/>
      <c r="E794" s="9"/>
      <c r="F794" s="9"/>
      <c r="G794" s="9"/>
    </row>
    <row r="795">
      <c r="D795" s="9"/>
      <c r="E795" s="9"/>
      <c r="F795" s="9"/>
      <c r="G795" s="9"/>
    </row>
    <row r="796">
      <c r="D796" s="9"/>
      <c r="E796" s="9"/>
      <c r="F796" s="9"/>
      <c r="G796" s="9"/>
    </row>
    <row r="797">
      <c r="D797" s="9"/>
      <c r="E797" s="9"/>
      <c r="F797" s="9"/>
      <c r="G797" s="9"/>
    </row>
    <row r="798">
      <c r="D798" s="9"/>
      <c r="E798" s="9"/>
      <c r="F798" s="9"/>
      <c r="G798" s="9"/>
    </row>
    <row r="799">
      <c r="D799" s="9"/>
      <c r="E799" s="9"/>
      <c r="F799" s="9"/>
      <c r="G799" s="9"/>
    </row>
    <row r="800">
      <c r="D800" s="9"/>
      <c r="E800" s="9"/>
      <c r="F800" s="9"/>
      <c r="G800" s="9"/>
    </row>
    <row r="801">
      <c r="D801" s="9"/>
      <c r="E801" s="9"/>
      <c r="F801" s="9"/>
      <c r="G801" s="9"/>
    </row>
    <row r="802">
      <c r="D802" s="9"/>
      <c r="E802" s="9"/>
      <c r="F802" s="9"/>
      <c r="G802" s="9"/>
    </row>
    <row r="803">
      <c r="D803" s="9"/>
      <c r="E803" s="9"/>
      <c r="F803" s="9"/>
      <c r="G803" s="9"/>
    </row>
    <row r="804">
      <c r="D804" s="9"/>
      <c r="E804" s="9"/>
      <c r="F804" s="9"/>
      <c r="G804" s="9"/>
    </row>
    <row r="805">
      <c r="D805" s="9"/>
      <c r="E805" s="9"/>
      <c r="F805" s="9"/>
      <c r="G805" s="9"/>
    </row>
    <row r="806">
      <c r="D806" s="9"/>
      <c r="E806" s="9"/>
      <c r="F806" s="9"/>
      <c r="G806" s="9"/>
    </row>
    <row r="807">
      <c r="D807" s="9"/>
      <c r="E807" s="9"/>
      <c r="F807" s="9"/>
      <c r="G807" s="9"/>
    </row>
    <row r="808">
      <c r="D808" s="9"/>
      <c r="E808" s="9"/>
      <c r="F808" s="9"/>
      <c r="G808" s="9"/>
    </row>
    <row r="809">
      <c r="D809" s="9"/>
      <c r="E809" s="9"/>
      <c r="F809" s="9"/>
      <c r="G809" s="9"/>
    </row>
    <row r="810">
      <c r="D810" s="9"/>
      <c r="E810" s="9"/>
      <c r="F810" s="9"/>
      <c r="G810" s="9"/>
    </row>
    <row r="811">
      <c r="D811" s="9"/>
      <c r="E811" s="9"/>
      <c r="F811" s="9"/>
      <c r="G811" s="9"/>
    </row>
    <row r="812">
      <c r="D812" s="9"/>
      <c r="E812" s="9"/>
      <c r="F812" s="9"/>
      <c r="G812" s="9"/>
    </row>
    <row r="813">
      <c r="D813" s="9"/>
      <c r="E813" s="9"/>
      <c r="F813" s="9"/>
      <c r="G813" s="9"/>
    </row>
    <row r="814">
      <c r="D814" s="9"/>
      <c r="E814" s="9"/>
      <c r="F814" s="9"/>
      <c r="G814" s="9"/>
    </row>
    <row r="815">
      <c r="D815" s="9"/>
      <c r="E815" s="9"/>
      <c r="F815" s="9"/>
      <c r="G815" s="9"/>
    </row>
    <row r="816">
      <c r="D816" s="9"/>
      <c r="E816" s="9"/>
      <c r="F816" s="9"/>
      <c r="G816" s="9"/>
    </row>
    <row r="817">
      <c r="D817" s="9"/>
      <c r="E817" s="9"/>
      <c r="F817" s="9"/>
      <c r="G817" s="9"/>
    </row>
    <row r="818">
      <c r="D818" s="9"/>
      <c r="E818" s="9"/>
      <c r="F818" s="9"/>
      <c r="G818" s="9"/>
    </row>
    <row r="819">
      <c r="D819" s="9"/>
      <c r="E819" s="9"/>
      <c r="F819" s="9"/>
      <c r="G819" s="9"/>
    </row>
    <row r="820">
      <c r="D820" s="9"/>
      <c r="E820" s="9"/>
      <c r="F820" s="9"/>
      <c r="G820" s="9"/>
    </row>
    <row r="821">
      <c r="D821" s="9"/>
      <c r="E821" s="9"/>
      <c r="F821" s="9"/>
      <c r="G821" s="9"/>
    </row>
    <row r="822">
      <c r="D822" s="9"/>
      <c r="E822" s="9"/>
      <c r="F822" s="9"/>
      <c r="G822" s="9"/>
    </row>
    <row r="823">
      <c r="D823" s="9"/>
      <c r="E823" s="9"/>
      <c r="F823" s="9"/>
      <c r="G823" s="9"/>
    </row>
    <row r="824">
      <c r="D824" s="9"/>
      <c r="E824" s="9"/>
      <c r="F824" s="9"/>
      <c r="G824" s="9"/>
    </row>
    <row r="825">
      <c r="D825" s="9"/>
      <c r="E825" s="9"/>
      <c r="F825" s="9"/>
      <c r="G825" s="9"/>
    </row>
    <row r="826">
      <c r="D826" s="9"/>
      <c r="E826" s="9"/>
      <c r="F826" s="9"/>
      <c r="G826" s="9"/>
    </row>
    <row r="827">
      <c r="D827" s="9"/>
      <c r="E827" s="9"/>
      <c r="F827" s="9"/>
      <c r="G827" s="9"/>
    </row>
    <row r="828">
      <c r="D828" s="9"/>
      <c r="E828" s="9"/>
      <c r="F828" s="9"/>
      <c r="G828" s="9"/>
    </row>
    <row r="829">
      <c r="D829" s="9"/>
      <c r="E829" s="9"/>
      <c r="F829" s="9"/>
      <c r="G829" s="9"/>
    </row>
    <row r="830">
      <c r="D830" s="9"/>
      <c r="E830" s="9"/>
      <c r="F830" s="9"/>
      <c r="G830" s="9"/>
    </row>
    <row r="831">
      <c r="D831" s="9"/>
      <c r="E831" s="9"/>
      <c r="F831" s="9"/>
      <c r="G831" s="9"/>
    </row>
    <row r="832">
      <c r="D832" s="9"/>
      <c r="E832" s="9"/>
      <c r="F832" s="9"/>
      <c r="G832" s="9"/>
    </row>
    <row r="833">
      <c r="D833" s="9"/>
      <c r="E833" s="9"/>
      <c r="F833" s="9"/>
      <c r="G833" s="9"/>
    </row>
    <row r="834">
      <c r="D834" s="9"/>
      <c r="E834" s="9"/>
      <c r="F834" s="9"/>
      <c r="G834" s="9"/>
    </row>
    <row r="835">
      <c r="D835" s="9"/>
      <c r="E835" s="9"/>
      <c r="F835" s="9"/>
      <c r="G835" s="9"/>
    </row>
    <row r="836">
      <c r="D836" s="9"/>
      <c r="E836" s="9"/>
      <c r="F836" s="9"/>
      <c r="G836" s="9"/>
    </row>
    <row r="837">
      <c r="D837" s="9"/>
      <c r="E837" s="9"/>
      <c r="F837" s="9"/>
      <c r="G837" s="9"/>
    </row>
    <row r="838">
      <c r="D838" s="9"/>
      <c r="E838" s="9"/>
      <c r="F838" s="9"/>
      <c r="G838" s="9"/>
    </row>
    <row r="839">
      <c r="D839" s="9"/>
      <c r="E839" s="9"/>
      <c r="F839" s="9"/>
      <c r="G839" s="9"/>
    </row>
    <row r="840">
      <c r="D840" s="9"/>
      <c r="E840" s="9"/>
      <c r="F840" s="9"/>
      <c r="G840" s="9"/>
    </row>
    <row r="841">
      <c r="D841" s="9"/>
      <c r="E841" s="9"/>
      <c r="F841" s="9"/>
      <c r="G841" s="9"/>
    </row>
    <row r="842">
      <c r="D842" s="9"/>
      <c r="E842" s="9"/>
      <c r="F842" s="9"/>
      <c r="G842" s="9"/>
    </row>
    <row r="843">
      <c r="D843" s="9"/>
      <c r="E843" s="9"/>
      <c r="F843" s="9"/>
      <c r="G843" s="9"/>
    </row>
    <row r="844">
      <c r="D844" s="9"/>
      <c r="E844" s="9"/>
      <c r="F844" s="9"/>
      <c r="G844" s="9"/>
    </row>
    <row r="845">
      <c r="D845" s="9"/>
      <c r="E845" s="9"/>
      <c r="F845" s="9"/>
      <c r="G845" s="9"/>
    </row>
    <row r="846">
      <c r="D846" s="9"/>
      <c r="E846" s="9"/>
      <c r="F846" s="9"/>
      <c r="G846" s="9"/>
    </row>
    <row r="847">
      <c r="D847" s="9"/>
      <c r="E847" s="9"/>
      <c r="F847" s="9"/>
      <c r="G847" s="9"/>
    </row>
    <row r="848">
      <c r="D848" s="9"/>
      <c r="E848" s="9"/>
      <c r="F848" s="9"/>
      <c r="G848" s="9"/>
    </row>
    <row r="849">
      <c r="D849" s="9"/>
      <c r="E849" s="9"/>
      <c r="F849" s="9"/>
      <c r="G849" s="9"/>
    </row>
    <row r="850">
      <c r="D850" s="9"/>
      <c r="E850" s="9"/>
      <c r="F850" s="9"/>
      <c r="G850" s="9"/>
    </row>
    <row r="851">
      <c r="D851" s="9"/>
      <c r="E851" s="9"/>
      <c r="F851" s="9"/>
      <c r="G851" s="9"/>
    </row>
    <row r="852">
      <c r="D852" s="9"/>
      <c r="E852" s="9"/>
      <c r="F852" s="9"/>
      <c r="G852" s="9"/>
    </row>
    <row r="853">
      <c r="D853" s="9"/>
      <c r="E853" s="9"/>
      <c r="F853" s="9"/>
      <c r="G853" s="9"/>
    </row>
    <row r="854">
      <c r="D854" s="9"/>
      <c r="E854" s="9"/>
      <c r="F854" s="9"/>
      <c r="G854" s="9"/>
    </row>
    <row r="855">
      <c r="D855" s="9"/>
      <c r="E855" s="9"/>
      <c r="F855" s="9"/>
      <c r="G855" s="9"/>
    </row>
    <row r="856">
      <c r="D856" s="9"/>
      <c r="E856" s="9"/>
      <c r="F856" s="9"/>
      <c r="G856" s="9"/>
    </row>
    <row r="857">
      <c r="D857" s="9"/>
      <c r="E857" s="9"/>
      <c r="F857" s="9"/>
      <c r="G857" s="9"/>
    </row>
    <row r="858">
      <c r="D858" s="9"/>
      <c r="E858" s="9"/>
      <c r="F858" s="9"/>
      <c r="G858" s="9"/>
    </row>
    <row r="859">
      <c r="D859" s="9"/>
      <c r="E859" s="9"/>
      <c r="F859" s="9"/>
      <c r="G859" s="9"/>
    </row>
    <row r="860">
      <c r="D860" s="9"/>
      <c r="E860" s="9"/>
      <c r="F860" s="9"/>
      <c r="G860" s="9"/>
    </row>
    <row r="861">
      <c r="D861" s="9"/>
      <c r="E861" s="9"/>
      <c r="F861" s="9"/>
      <c r="G861" s="9"/>
    </row>
    <row r="862">
      <c r="D862" s="9"/>
      <c r="E862" s="9"/>
      <c r="F862" s="9"/>
      <c r="G862" s="9"/>
    </row>
    <row r="863">
      <c r="D863" s="9"/>
      <c r="E863" s="9"/>
      <c r="F863" s="9"/>
      <c r="G863" s="9"/>
    </row>
    <row r="864">
      <c r="D864" s="9"/>
      <c r="E864" s="9"/>
      <c r="F864" s="9"/>
      <c r="G864" s="9"/>
    </row>
    <row r="865">
      <c r="D865" s="9"/>
      <c r="E865" s="9"/>
      <c r="F865" s="9"/>
      <c r="G865" s="9"/>
    </row>
    <row r="866">
      <c r="D866" s="9"/>
      <c r="E866" s="9"/>
      <c r="F866" s="9"/>
      <c r="G866" s="9"/>
    </row>
    <row r="867">
      <c r="D867" s="9"/>
      <c r="E867" s="9"/>
      <c r="F867" s="9"/>
      <c r="G867" s="9"/>
    </row>
    <row r="868">
      <c r="D868" s="9"/>
      <c r="E868" s="9"/>
      <c r="F868" s="9"/>
      <c r="G868" s="9"/>
    </row>
    <row r="869">
      <c r="D869" s="9"/>
      <c r="E869" s="9"/>
      <c r="F869" s="9"/>
      <c r="G869" s="9"/>
    </row>
    <row r="870">
      <c r="D870" s="9"/>
      <c r="E870" s="9"/>
      <c r="F870" s="9"/>
      <c r="G870" s="9"/>
    </row>
    <row r="871">
      <c r="D871" s="9"/>
      <c r="E871" s="9"/>
      <c r="F871" s="9"/>
      <c r="G871" s="9"/>
    </row>
    <row r="872">
      <c r="D872" s="9"/>
      <c r="E872" s="9"/>
      <c r="F872" s="9"/>
      <c r="G872" s="9"/>
    </row>
    <row r="873">
      <c r="D873" s="9"/>
      <c r="E873" s="9"/>
      <c r="F873" s="9"/>
      <c r="G873" s="9"/>
    </row>
    <row r="874">
      <c r="D874" s="9"/>
      <c r="E874" s="9"/>
      <c r="F874" s="9"/>
      <c r="G874" s="9"/>
    </row>
    <row r="875">
      <c r="D875" s="9"/>
      <c r="E875" s="9"/>
      <c r="F875" s="9"/>
      <c r="G875" s="9"/>
    </row>
    <row r="876">
      <c r="D876" s="9"/>
      <c r="E876" s="9"/>
      <c r="F876" s="9"/>
      <c r="G876" s="9"/>
    </row>
    <row r="877">
      <c r="D877" s="9"/>
      <c r="E877" s="9"/>
      <c r="F877" s="9"/>
      <c r="G877" s="9"/>
    </row>
    <row r="878">
      <c r="D878" s="9"/>
      <c r="E878" s="9"/>
      <c r="F878" s="9"/>
      <c r="G878" s="9"/>
    </row>
    <row r="879">
      <c r="D879" s="9"/>
      <c r="E879" s="9"/>
      <c r="F879" s="9"/>
      <c r="G879" s="9"/>
    </row>
    <row r="880">
      <c r="D880" s="9"/>
      <c r="E880" s="9"/>
      <c r="F880" s="9"/>
      <c r="G880" s="9"/>
    </row>
    <row r="881">
      <c r="D881" s="9"/>
      <c r="E881" s="9"/>
      <c r="F881" s="9"/>
      <c r="G881" s="9"/>
    </row>
    <row r="882">
      <c r="D882" s="9"/>
      <c r="E882" s="9"/>
      <c r="F882" s="9"/>
      <c r="G882" s="9"/>
    </row>
    <row r="883">
      <c r="D883" s="9"/>
      <c r="E883" s="9"/>
      <c r="F883" s="9"/>
      <c r="G883" s="9"/>
    </row>
    <row r="884">
      <c r="D884" s="9"/>
      <c r="E884" s="9"/>
      <c r="F884" s="9"/>
      <c r="G884" s="9"/>
    </row>
    <row r="885">
      <c r="D885" s="9"/>
      <c r="E885" s="9"/>
      <c r="F885" s="9"/>
      <c r="G885" s="9"/>
    </row>
    <row r="886">
      <c r="D886" s="9"/>
      <c r="E886" s="9"/>
      <c r="F886" s="9"/>
      <c r="G886" s="9"/>
    </row>
    <row r="887">
      <c r="D887" s="9"/>
      <c r="E887" s="9"/>
      <c r="F887" s="9"/>
      <c r="G887" s="9"/>
    </row>
    <row r="888">
      <c r="D888" s="9"/>
      <c r="E888" s="9"/>
      <c r="F888" s="9"/>
      <c r="G888" s="9"/>
    </row>
    <row r="889">
      <c r="D889" s="9"/>
      <c r="E889" s="9"/>
      <c r="F889" s="9"/>
      <c r="G889" s="9"/>
    </row>
    <row r="890">
      <c r="D890" s="9"/>
      <c r="E890" s="9"/>
      <c r="F890" s="9"/>
      <c r="G890" s="9"/>
    </row>
    <row r="891">
      <c r="D891" s="9"/>
      <c r="E891" s="9"/>
      <c r="F891" s="9"/>
      <c r="G891" s="9"/>
    </row>
    <row r="892">
      <c r="D892" s="9"/>
      <c r="E892" s="9"/>
      <c r="F892" s="9"/>
      <c r="G892" s="9"/>
    </row>
    <row r="893">
      <c r="D893" s="9"/>
      <c r="E893" s="9"/>
      <c r="F893" s="9"/>
      <c r="G893" s="9"/>
    </row>
    <row r="894">
      <c r="D894" s="9"/>
      <c r="E894" s="9"/>
      <c r="F894" s="9"/>
      <c r="G894" s="9"/>
    </row>
    <row r="895">
      <c r="D895" s="9"/>
      <c r="E895" s="9"/>
      <c r="F895" s="9"/>
      <c r="G895" s="9"/>
    </row>
    <row r="896">
      <c r="D896" s="9"/>
      <c r="E896" s="9"/>
      <c r="F896" s="9"/>
      <c r="G896" s="9"/>
    </row>
    <row r="897">
      <c r="D897" s="9"/>
      <c r="E897" s="9"/>
      <c r="F897" s="9"/>
      <c r="G897" s="9"/>
    </row>
    <row r="898">
      <c r="D898" s="9"/>
      <c r="E898" s="9"/>
      <c r="F898" s="9"/>
      <c r="G898" s="9"/>
    </row>
    <row r="899">
      <c r="D899" s="9"/>
      <c r="E899" s="9"/>
      <c r="F899" s="9"/>
      <c r="G899" s="9"/>
    </row>
    <row r="900">
      <c r="D900" s="9"/>
      <c r="E900" s="9"/>
      <c r="F900" s="9"/>
      <c r="G900" s="9"/>
    </row>
    <row r="901">
      <c r="D901" s="9"/>
      <c r="E901" s="9"/>
      <c r="F901" s="9"/>
      <c r="G901" s="9"/>
    </row>
    <row r="902">
      <c r="D902" s="9"/>
      <c r="E902" s="9"/>
      <c r="F902" s="9"/>
      <c r="G902" s="9"/>
    </row>
    <row r="903">
      <c r="D903" s="9"/>
      <c r="E903" s="9"/>
      <c r="F903" s="9"/>
      <c r="G903" s="9"/>
    </row>
    <row r="904">
      <c r="D904" s="9"/>
      <c r="E904" s="9"/>
      <c r="F904" s="9"/>
      <c r="G904" s="9"/>
    </row>
    <row r="905">
      <c r="D905" s="9"/>
      <c r="E905" s="9"/>
      <c r="F905" s="9"/>
      <c r="G905" s="9"/>
    </row>
    <row r="906">
      <c r="D906" s="9"/>
      <c r="E906" s="9"/>
      <c r="F906" s="9"/>
      <c r="G906" s="9"/>
    </row>
    <row r="907">
      <c r="D907" s="9"/>
      <c r="E907" s="9"/>
      <c r="F907" s="9"/>
      <c r="G907" s="9"/>
    </row>
    <row r="908">
      <c r="D908" s="9"/>
      <c r="E908" s="9"/>
      <c r="F908" s="9"/>
      <c r="G908" s="9"/>
    </row>
    <row r="909">
      <c r="D909" s="9"/>
      <c r="E909" s="9"/>
      <c r="F909" s="9"/>
      <c r="G909" s="9"/>
    </row>
    <row r="910">
      <c r="D910" s="9"/>
      <c r="E910" s="9"/>
      <c r="F910" s="9"/>
      <c r="G910" s="9"/>
    </row>
    <row r="911">
      <c r="D911" s="9"/>
      <c r="E911" s="9"/>
      <c r="F911" s="9"/>
      <c r="G911" s="9"/>
    </row>
    <row r="912">
      <c r="D912" s="9"/>
      <c r="E912" s="9"/>
      <c r="F912" s="9"/>
      <c r="G912" s="9"/>
    </row>
    <row r="913">
      <c r="D913" s="9"/>
      <c r="E913" s="9"/>
      <c r="F913" s="9"/>
      <c r="G913" s="9"/>
    </row>
    <row r="914">
      <c r="D914" s="9"/>
      <c r="E914" s="9"/>
      <c r="F914" s="9"/>
      <c r="G914" s="9"/>
    </row>
    <row r="915">
      <c r="D915" s="9"/>
      <c r="E915" s="9"/>
      <c r="F915" s="9"/>
      <c r="G915" s="9"/>
    </row>
    <row r="916">
      <c r="D916" s="9"/>
      <c r="E916" s="9"/>
      <c r="F916" s="9"/>
      <c r="G916" s="9"/>
    </row>
    <row r="917">
      <c r="D917" s="9"/>
      <c r="E917" s="9"/>
      <c r="F917" s="9"/>
      <c r="G917" s="9"/>
    </row>
    <row r="918">
      <c r="D918" s="9"/>
      <c r="E918" s="9"/>
      <c r="F918" s="9"/>
      <c r="G918" s="9"/>
    </row>
    <row r="919">
      <c r="D919" s="9"/>
      <c r="E919" s="9"/>
      <c r="F919" s="9"/>
      <c r="G919" s="9"/>
    </row>
    <row r="920">
      <c r="D920" s="9"/>
      <c r="E920" s="9"/>
      <c r="F920" s="9"/>
      <c r="G920" s="9"/>
    </row>
    <row r="921">
      <c r="D921" s="9"/>
      <c r="E921" s="9"/>
      <c r="F921" s="9"/>
      <c r="G921" s="9"/>
    </row>
    <row r="922">
      <c r="D922" s="9"/>
      <c r="E922" s="9"/>
      <c r="F922" s="9"/>
      <c r="G922" s="9"/>
    </row>
    <row r="923">
      <c r="D923" s="9"/>
      <c r="E923" s="9"/>
      <c r="F923" s="9"/>
      <c r="G923" s="9"/>
    </row>
    <row r="924">
      <c r="D924" s="9"/>
      <c r="E924" s="9"/>
      <c r="F924" s="9"/>
      <c r="G924" s="9"/>
    </row>
    <row r="925">
      <c r="D925" s="9"/>
      <c r="E925" s="9"/>
      <c r="F925" s="9"/>
      <c r="G925" s="9"/>
    </row>
    <row r="926">
      <c r="D926" s="9"/>
      <c r="E926" s="9"/>
      <c r="F926" s="9"/>
      <c r="G926" s="9"/>
    </row>
    <row r="927">
      <c r="D927" s="9"/>
      <c r="E927" s="9"/>
      <c r="F927" s="9"/>
      <c r="G927" s="9"/>
    </row>
    <row r="928">
      <c r="D928" s="9"/>
      <c r="E928" s="9"/>
      <c r="F928" s="9"/>
      <c r="G928" s="9"/>
    </row>
    <row r="929">
      <c r="D929" s="9"/>
      <c r="E929" s="9"/>
      <c r="F929" s="9"/>
      <c r="G929" s="9"/>
    </row>
    <row r="930">
      <c r="D930" s="9"/>
      <c r="E930" s="9"/>
      <c r="F930" s="9"/>
      <c r="G930" s="9"/>
    </row>
    <row r="931">
      <c r="D931" s="9"/>
      <c r="E931" s="9"/>
      <c r="F931" s="9"/>
      <c r="G931" s="9"/>
    </row>
    <row r="932">
      <c r="D932" s="9"/>
      <c r="E932" s="9"/>
      <c r="F932" s="9"/>
      <c r="G932" s="9"/>
    </row>
    <row r="933">
      <c r="D933" s="9"/>
      <c r="E933" s="9"/>
      <c r="F933" s="9"/>
      <c r="G933" s="9"/>
    </row>
    <row r="934">
      <c r="D934" s="9"/>
      <c r="E934" s="9"/>
      <c r="F934" s="9"/>
      <c r="G934" s="9"/>
    </row>
    <row r="935">
      <c r="D935" s="9"/>
      <c r="E935" s="9"/>
      <c r="F935" s="9"/>
      <c r="G935" s="9"/>
    </row>
    <row r="936">
      <c r="D936" s="9"/>
      <c r="E936" s="9"/>
      <c r="F936" s="9"/>
      <c r="G936" s="9"/>
    </row>
    <row r="937">
      <c r="D937" s="9"/>
      <c r="E937" s="9"/>
      <c r="F937" s="9"/>
      <c r="G937" s="9"/>
    </row>
    <row r="938">
      <c r="D938" s="9"/>
      <c r="E938" s="9"/>
      <c r="F938" s="9"/>
      <c r="G938" s="9"/>
    </row>
    <row r="939">
      <c r="D939" s="9"/>
      <c r="E939" s="9"/>
      <c r="F939" s="9"/>
      <c r="G939" s="9"/>
    </row>
    <row r="940">
      <c r="D940" s="9"/>
      <c r="E940" s="9"/>
      <c r="F940" s="9"/>
      <c r="G940" s="9"/>
    </row>
    <row r="941">
      <c r="D941" s="9"/>
      <c r="E941" s="9"/>
      <c r="F941" s="9"/>
      <c r="G941" s="9"/>
    </row>
    <row r="942">
      <c r="D942" s="9"/>
      <c r="E942" s="9"/>
      <c r="F942" s="9"/>
      <c r="G942" s="9"/>
    </row>
    <row r="943">
      <c r="D943" s="9"/>
      <c r="E943" s="9"/>
      <c r="F943" s="9"/>
      <c r="G943" s="9"/>
    </row>
    <row r="944">
      <c r="D944" s="9"/>
      <c r="E944" s="9"/>
      <c r="F944" s="9"/>
      <c r="G944" s="9"/>
    </row>
    <row r="945">
      <c r="D945" s="9"/>
      <c r="E945" s="9"/>
      <c r="F945" s="9"/>
      <c r="G945" s="9"/>
    </row>
    <row r="946">
      <c r="D946" s="9"/>
      <c r="E946" s="9"/>
      <c r="F946" s="9"/>
      <c r="G946" s="9"/>
    </row>
    <row r="947">
      <c r="D947" s="9"/>
      <c r="E947" s="9"/>
      <c r="F947" s="9"/>
      <c r="G947" s="9"/>
    </row>
    <row r="948">
      <c r="D948" s="9"/>
      <c r="E948" s="9"/>
      <c r="F948" s="9"/>
      <c r="G948" s="9"/>
    </row>
    <row r="949">
      <c r="D949" s="9"/>
      <c r="E949" s="9"/>
      <c r="F949" s="9"/>
      <c r="G949" s="9"/>
    </row>
    <row r="950">
      <c r="D950" s="9"/>
      <c r="E950" s="9"/>
      <c r="F950" s="9"/>
      <c r="G950" s="9"/>
    </row>
    <row r="951">
      <c r="D951" s="9"/>
      <c r="E951" s="9"/>
      <c r="F951" s="9"/>
      <c r="G951" s="9"/>
    </row>
    <row r="952">
      <c r="D952" s="9"/>
      <c r="E952" s="9"/>
      <c r="F952" s="9"/>
      <c r="G952" s="9"/>
    </row>
    <row r="953">
      <c r="D953" s="9"/>
      <c r="E953" s="9"/>
      <c r="F953" s="9"/>
      <c r="G953" s="9"/>
    </row>
    <row r="954">
      <c r="D954" s="9"/>
      <c r="E954" s="9"/>
      <c r="F954" s="9"/>
      <c r="G954" s="9"/>
    </row>
    <row r="955">
      <c r="D955" s="9"/>
      <c r="E955" s="9"/>
      <c r="F955" s="9"/>
      <c r="G955" s="9"/>
    </row>
    <row r="956">
      <c r="D956" s="9"/>
      <c r="E956" s="9"/>
      <c r="F956" s="9"/>
      <c r="G956" s="9"/>
    </row>
    <row r="957">
      <c r="D957" s="9"/>
      <c r="E957" s="9"/>
      <c r="F957" s="9"/>
      <c r="G957" s="9"/>
    </row>
    <row r="958">
      <c r="D958" s="9"/>
      <c r="E958" s="9"/>
      <c r="F958" s="9"/>
      <c r="G958" s="9"/>
    </row>
    <row r="959">
      <c r="D959" s="9"/>
      <c r="E959" s="9"/>
      <c r="F959" s="9"/>
      <c r="G959" s="9"/>
    </row>
    <row r="960">
      <c r="D960" s="9"/>
      <c r="E960" s="9"/>
      <c r="F960" s="9"/>
      <c r="G960" s="9"/>
    </row>
    <row r="961">
      <c r="D961" s="9"/>
      <c r="E961" s="9"/>
      <c r="F961" s="9"/>
      <c r="G961" s="9"/>
    </row>
    <row r="962">
      <c r="D962" s="9"/>
      <c r="E962" s="9"/>
      <c r="F962" s="9"/>
      <c r="G962" s="9"/>
    </row>
    <row r="963">
      <c r="D963" s="9"/>
      <c r="E963" s="9"/>
      <c r="F963" s="9"/>
      <c r="G963" s="9"/>
    </row>
    <row r="964">
      <c r="D964" s="9"/>
      <c r="E964" s="9"/>
      <c r="F964" s="9"/>
      <c r="G964" s="9"/>
    </row>
    <row r="965">
      <c r="D965" s="9"/>
      <c r="E965" s="9"/>
      <c r="F965" s="9"/>
      <c r="G965" s="9"/>
    </row>
    <row r="966">
      <c r="D966" s="9"/>
      <c r="E966" s="9"/>
      <c r="F966" s="9"/>
      <c r="G966" s="9"/>
    </row>
    <row r="967">
      <c r="D967" s="9"/>
      <c r="E967" s="9"/>
      <c r="F967" s="9"/>
      <c r="G967" s="9"/>
    </row>
    <row r="968">
      <c r="D968" s="9"/>
      <c r="E968" s="9"/>
      <c r="F968" s="9"/>
      <c r="G968" s="9"/>
    </row>
    <row r="969">
      <c r="D969" s="9"/>
      <c r="E969" s="9"/>
      <c r="F969" s="9"/>
      <c r="G969" s="9"/>
    </row>
    <row r="970">
      <c r="D970" s="9"/>
      <c r="E970" s="9"/>
      <c r="F970" s="9"/>
      <c r="G970" s="9"/>
    </row>
    <row r="971">
      <c r="D971" s="9"/>
      <c r="E971" s="9"/>
      <c r="F971" s="9"/>
      <c r="G971" s="9"/>
    </row>
    <row r="972">
      <c r="D972" s="9"/>
      <c r="E972" s="9"/>
      <c r="F972" s="9"/>
      <c r="G972" s="9"/>
    </row>
    <row r="973">
      <c r="D973" s="9"/>
      <c r="E973" s="9"/>
      <c r="F973" s="9"/>
      <c r="G973" s="9"/>
    </row>
    <row r="974">
      <c r="D974" s="9"/>
      <c r="E974" s="9"/>
      <c r="F974" s="9"/>
      <c r="G974" s="9"/>
    </row>
    <row r="975">
      <c r="D975" s="9"/>
      <c r="E975" s="9"/>
      <c r="F975" s="9"/>
      <c r="G975" s="9"/>
    </row>
    <row r="976">
      <c r="D976" s="9"/>
      <c r="E976" s="9"/>
      <c r="F976" s="9"/>
      <c r="G976" s="9"/>
    </row>
    <row r="977">
      <c r="D977" s="9"/>
      <c r="E977" s="9"/>
      <c r="F977" s="9"/>
      <c r="G977" s="9"/>
    </row>
    <row r="978">
      <c r="D978" s="9"/>
      <c r="E978" s="9"/>
      <c r="F978" s="9"/>
      <c r="G978" s="9"/>
    </row>
    <row r="979">
      <c r="D979" s="9"/>
      <c r="E979" s="9"/>
      <c r="F979" s="9"/>
      <c r="G979" s="9"/>
    </row>
    <row r="980">
      <c r="D980" s="9"/>
      <c r="E980" s="9"/>
      <c r="F980" s="9"/>
      <c r="G980" s="9"/>
    </row>
    <row r="981">
      <c r="D981" s="9"/>
      <c r="E981" s="9"/>
      <c r="F981" s="9"/>
      <c r="G981" s="9"/>
    </row>
    <row r="982">
      <c r="D982" s="9"/>
      <c r="E982" s="9"/>
      <c r="F982" s="9"/>
      <c r="G982" s="9"/>
    </row>
    <row r="983">
      <c r="D983" s="9"/>
      <c r="E983" s="9"/>
      <c r="F983" s="9"/>
      <c r="G983" s="9"/>
    </row>
    <row r="984">
      <c r="D984" s="9"/>
      <c r="E984" s="9"/>
      <c r="F984" s="9"/>
      <c r="G984" s="9"/>
    </row>
    <row r="985">
      <c r="D985" s="9"/>
      <c r="E985" s="9"/>
      <c r="F985" s="9"/>
      <c r="G985" s="9"/>
    </row>
    <row r="986">
      <c r="D986" s="9"/>
      <c r="E986" s="9"/>
      <c r="F986" s="9"/>
      <c r="G986" s="9"/>
    </row>
    <row r="987">
      <c r="D987" s="9"/>
      <c r="E987" s="9"/>
      <c r="F987" s="9"/>
      <c r="G987" s="9"/>
    </row>
    <row r="988">
      <c r="D988" s="9"/>
      <c r="E988" s="9"/>
      <c r="F988" s="9"/>
      <c r="G988" s="9"/>
    </row>
    <row r="989">
      <c r="D989" s="9"/>
      <c r="E989" s="9"/>
      <c r="F989" s="9"/>
      <c r="G989" s="9"/>
    </row>
    <row r="990">
      <c r="D990" s="9"/>
      <c r="E990" s="9"/>
      <c r="F990" s="9"/>
      <c r="G990" s="9"/>
    </row>
    <row r="991">
      <c r="D991" s="9"/>
      <c r="E991" s="9"/>
      <c r="F991" s="9"/>
      <c r="G991" s="9"/>
    </row>
    <row r="992">
      <c r="D992" s="9"/>
      <c r="E992" s="9"/>
      <c r="F992" s="9"/>
      <c r="G992" s="9"/>
    </row>
    <row r="993">
      <c r="D993" s="9"/>
      <c r="E993" s="9"/>
      <c r="F993" s="9"/>
      <c r="G993" s="9"/>
    </row>
    <row r="994">
      <c r="D994" s="9"/>
      <c r="E994" s="9"/>
      <c r="F994" s="9"/>
      <c r="G994" s="9"/>
    </row>
    <row r="995">
      <c r="D995" s="9"/>
      <c r="E995" s="9"/>
      <c r="F995" s="9"/>
      <c r="G995" s="9"/>
    </row>
    <row r="996">
      <c r="D996" s="9"/>
      <c r="E996" s="9"/>
      <c r="F996" s="9"/>
      <c r="G996" s="9"/>
    </row>
    <row r="997">
      <c r="D997" s="9"/>
      <c r="E997" s="9"/>
      <c r="F997" s="9"/>
      <c r="G997" s="9"/>
    </row>
    <row r="998">
      <c r="D998" s="9"/>
      <c r="E998" s="9"/>
      <c r="F998" s="9"/>
      <c r="G998" s="9"/>
    </row>
    <row r="999">
      <c r="D999" s="9"/>
      <c r="E999" s="9"/>
      <c r="F999" s="9"/>
      <c r="G999" s="9"/>
    </row>
    <row r="1000">
      <c r="D1000" s="9"/>
      <c r="E1000" s="9"/>
      <c r="F1000" s="9"/>
      <c r="G1000" s="9"/>
    </row>
    <row r="1001">
      <c r="D1001" s="9"/>
      <c r="E1001" s="9"/>
      <c r="F1001" s="9"/>
      <c r="G1001" s="9"/>
    </row>
    <row r="1002">
      <c r="D1002" s="9"/>
      <c r="E1002" s="9"/>
      <c r="F1002" s="9"/>
      <c r="G1002" s="9"/>
    </row>
    <row r="1003">
      <c r="D1003" s="9"/>
      <c r="E1003" s="9"/>
      <c r="F1003" s="9"/>
      <c r="G1003" s="9"/>
    </row>
    <row r="1004">
      <c r="D1004" s="9"/>
      <c r="E1004" s="9"/>
      <c r="F1004" s="9"/>
      <c r="G1004" s="9"/>
    </row>
    <row r="1005">
      <c r="D1005" s="9"/>
      <c r="E1005" s="9"/>
      <c r="F1005" s="9"/>
      <c r="G1005" s="9"/>
    </row>
    <row r="1006">
      <c r="D1006" s="9"/>
      <c r="E1006" s="9"/>
      <c r="F1006" s="9"/>
      <c r="G1006" s="9"/>
    </row>
    <row r="1007">
      <c r="D1007" s="9"/>
      <c r="E1007" s="9"/>
      <c r="F1007" s="9"/>
      <c r="G1007" s="9"/>
    </row>
    <row r="1008">
      <c r="D1008" s="9"/>
      <c r="E1008" s="9"/>
      <c r="F1008" s="9"/>
      <c r="G1008" s="9"/>
    </row>
    <row r="1009">
      <c r="D1009" s="9"/>
      <c r="E1009" s="9"/>
      <c r="F1009" s="9"/>
      <c r="G1009" s="9"/>
    </row>
    <row r="1010">
      <c r="D1010" s="9"/>
      <c r="E1010" s="9"/>
      <c r="F1010" s="9"/>
      <c r="G1010" s="9"/>
    </row>
  </sheetData>
  <customSheetViews>
    <customSheetView guid="{A41C9B87-4ABC-4BCD-9C74-2AC9961CBDB2}" filter="1" showAutoFilter="1">
      <autoFilter ref="$A$1:$S$26"/>
    </customSheetView>
  </customSheetViews>
  <conditionalFormatting sqref="A1:S1">
    <cfRule type="expression" dxfId="8" priority="1">
      <formula>H1="ベトナム"</formula>
    </cfRule>
  </conditionalFormatting>
  <dataValidations>
    <dataValidation type="custom" allowBlank="1" showDropDown="1" sqref="N2:O26">
      <formula1>OR(NOT(ISERROR(DATEVALUE(N2))), AND(ISNUMBER(N2), LEFT(CELL("format", N2))="D"))</formula1>
    </dataValidation>
    <dataValidation type="list" allowBlank="1" sqref="M2:M26">
      <formula1>"オンスケ,遅延あり"</formula1>
    </dataValidation>
    <dataValidation type="list" allowBlank="1" sqref="L2:L26">
      <formula1>"未着手,着手中,確認中,完了,不要"</formula1>
    </dataValidation>
  </dataValidations>
  <hyperlinks>
    <hyperlink r:id="rId1" ref="J2"/>
    <hyperlink r:id="rId2" ref="J5"/>
    <hyperlink r:id="rId3" ref="J6"/>
    <hyperlink r:id="rId4" ref="J12"/>
    <hyperlink r:id="rId5" ref="J13"/>
    <hyperlink r:id="rId6" ref="J21"/>
    <hyperlink r:id="rId7" ref="J22"/>
    <hyperlink r:id="rId8" ref="J23"/>
    <hyperlink r:id="rId9" ref="J24"/>
    <hyperlink r:id="rId10" ref="J25"/>
    <hyperlink r:id="rId11" ref="J26"/>
  </hyperlinks>
  <drawing r:id="rId12"/>
  <tableParts count="1">
    <tablePart r:id="rId1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24.75"/>
    <col customWidth="1" min="3" max="3" width="35.13"/>
    <col customWidth="1" min="4" max="4" width="18.88"/>
    <col customWidth="1" min="5" max="5" width="15.63"/>
    <col customWidth="1" min="6" max="6" width="11.5"/>
    <col customWidth="1" min="7" max="7" width="49.13"/>
    <col customWidth="1" min="8" max="26" width="46.75"/>
  </cols>
  <sheetData>
    <row r="1" ht="22.5" customHeight="1">
      <c r="A1" s="137" t="s">
        <v>542</v>
      </c>
      <c r="B1" s="137" t="s">
        <v>543</v>
      </c>
      <c r="C1" s="137" t="s">
        <v>544</v>
      </c>
      <c r="D1" s="137" t="s">
        <v>545</v>
      </c>
      <c r="E1" s="137" t="s">
        <v>546</v>
      </c>
      <c r="F1" s="137" t="s">
        <v>547</v>
      </c>
      <c r="G1" s="137" t="s">
        <v>548</v>
      </c>
      <c r="H1" s="27"/>
      <c r="I1" s="27"/>
      <c r="J1" s="27"/>
      <c r="K1" s="27"/>
      <c r="L1" s="27"/>
      <c r="M1" s="27"/>
      <c r="N1" s="27"/>
      <c r="O1" s="27"/>
      <c r="P1" s="27"/>
      <c r="Q1" s="27"/>
      <c r="R1" s="27"/>
      <c r="S1" s="27"/>
      <c r="T1" s="27"/>
      <c r="U1" s="27"/>
      <c r="V1" s="27"/>
      <c r="W1" s="27"/>
      <c r="X1" s="27"/>
      <c r="Y1" s="27"/>
      <c r="Z1" s="27"/>
    </row>
    <row r="2" ht="22.5" customHeight="1">
      <c r="A2" s="13" t="s">
        <v>549</v>
      </c>
      <c r="B2" s="13" t="s">
        <v>550</v>
      </c>
      <c r="C2" s="13" t="s">
        <v>551</v>
      </c>
      <c r="D2" s="13" t="s">
        <v>552</v>
      </c>
      <c r="E2" s="13" t="s">
        <v>553</v>
      </c>
      <c r="F2" s="13" t="s">
        <v>554</v>
      </c>
      <c r="G2" s="13" t="s">
        <v>555</v>
      </c>
      <c r="H2" s="27"/>
      <c r="I2" s="27"/>
      <c r="J2" s="27"/>
      <c r="K2" s="27"/>
      <c r="L2" s="27"/>
      <c r="M2" s="27"/>
      <c r="N2" s="27"/>
      <c r="O2" s="27"/>
      <c r="P2" s="27"/>
      <c r="Q2" s="27"/>
      <c r="R2" s="27"/>
      <c r="S2" s="27"/>
      <c r="T2" s="27"/>
      <c r="U2" s="27"/>
      <c r="V2" s="27"/>
      <c r="W2" s="27"/>
      <c r="X2" s="27"/>
      <c r="Y2" s="27"/>
      <c r="Z2" s="27"/>
    </row>
    <row r="3" ht="22.5" customHeight="1">
      <c r="A3" s="13" t="s">
        <v>556</v>
      </c>
      <c r="B3" s="13" t="s">
        <v>557</v>
      </c>
      <c r="C3" s="13" t="s">
        <v>558</v>
      </c>
      <c r="D3" s="13" t="s">
        <v>559</v>
      </c>
      <c r="E3" s="13" t="s">
        <v>560</v>
      </c>
      <c r="F3" s="13" t="s">
        <v>561</v>
      </c>
      <c r="G3" s="13" t="s">
        <v>562</v>
      </c>
      <c r="H3" s="27"/>
      <c r="I3" s="27"/>
      <c r="J3" s="27"/>
      <c r="K3" s="27"/>
      <c r="L3" s="27"/>
      <c r="M3" s="27"/>
      <c r="N3" s="27"/>
      <c r="O3" s="27"/>
      <c r="P3" s="27"/>
      <c r="Q3" s="27"/>
      <c r="R3" s="27"/>
      <c r="S3" s="27"/>
      <c r="T3" s="27"/>
      <c r="U3" s="27"/>
      <c r="V3" s="27"/>
      <c r="W3" s="27"/>
      <c r="X3" s="27"/>
      <c r="Y3" s="27"/>
      <c r="Z3" s="27"/>
    </row>
    <row r="4" ht="22.5" customHeight="1">
      <c r="A4" s="13" t="s">
        <v>563</v>
      </c>
      <c r="B4" s="13" t="s">
        <v>564</v>
      </c>
      <c r="C4" s="13" t="s">
        <v>565</v>
      </c>
      <c r="D4" s="13" t="s">
        <v>566</v>
      </c>
      <c r="E4" s="13" t="s">
        <v>567</v>
      </c>
      <c r="F4" s="13" t="s">
        <v>568</v>
      </c>
      <c r="G4" s="13" t="s">
        <v>569</v>
      </c>
      <c r="H4" s="27"/>
      <c r="I4" s="27"/>
      <c r="J4" s="27"/>
      <c r="K4" s="27"/>
      <c r="L4" s="27"/>
      <c r="M4" s="27"/>
      <c r="N4" s="27"/>
      <c r="O4" s="27"/>
      <c r="P4" s="27"/>
      <c r="Q4" s="27"/>
      <c r="R4" s="27"/>
      <c r="S4" s="27"/>
      <c r="T4" s="27"/>
      <c r="U4" s="27"/>
      <c r="V4" s="27"/>
      <c r="W4" s="27"/>
      <c r="X4" s="27"/>
      <c r="Y4" s="27"/>
      <c r="Z4" s="27"/>
    </row>
    <row r="5" ht="22.5" customHeight="1">
      <c r="A5" s="13" t="s">
        <v>570</v>
      </c>
      <c r="B5" s="13" t="s">
        <v>571</v>
      </c>
      <c r="C5" s="13" t="s">
        <v>572</v>
      </c>
      <c r="D5" s="13" t="s">
        <v>566</v>
      </c>
      <c r="E5" s="13" t="s">
        <v>573</v>
      </c>
      <c r="F5" s="13" t="s">
        <v>568</v>
      </c>
      <c r="G5" s="13" t="s">
        <v>574</v>
      </c>
      <c r="H5" s="27"/>
      <c r="I5" s="27"/>
      <c r="J5" s="27"/>
      <c r="K5" s="27"/>
      <c r="L5" s="27"/>
      <c r="M5" s="27"/>
      <c r="N5" s="27"/>
      <c r="O5" s="27"/>
      <c r="P5" s="27"/>
      <c r="Q5" s="27"/>
      <c r="R5" s="27"/>
      <c r="S5" s="27"/>
      <c r="T5" s="27"/>
      <c r="U5" s="27"/>
      <c r="V5" s="27"/>
      <c r="W5" s="27"/>
      <c r="X5" s="27"/>
      <c r="Y5" s="27"/>
      <c r="Z5" s="27"/>
    </row>
    <row r="6" ht="22.5" customHeight="1">
      <c r="A6" s="13" t="s">
        <v>575</v>
      </c>
      <c r="B6" s="13" t="s">
        <v>576</v>
      </c>
      <c r="C6" s="13" t="s">
        <v>577</v>
      </c>
      <c r="D6" s="13" t="s">
        <v>566</v>
      </c>
      <c r="E6" s="13" t="s">
        <v>578</v>
      </c>
      <c r="F6" s="13" t="s">
        <v>568</v>
      </c>
      <c r="G6" s="13" t="s">
        <v>579</v>
      </c>
      <c r="H6" s="27"/>
      <c r="I6" s="27"/>
      <c r="J6" s="27"/>
      <c r="K6" s="27"/>
      <c r="L6" s="27"/>
      <c r="M6" s="27"/>
      <c r="N6" s="27"/>
      <c r="O6" s="27"/>
      <c r="P6" s="27"/>
      <c r="Q6" s="27"/>
      <c r="R6" s="27"/>
      <c r="S6" s="27"/>
      <c r="T6" s="27"/>
      <c r="U6" s="27"/>
      <c r="V6" s="27"/>
      <c r="W6" s="27"/>
      <c r="X6" s="27"/>
      <c r="Y6" s="27"/>
      <c r="Z6" s="27"/>
    </row>
    <row r="7" ht="22.5" customHeight="1">
      <c r="A7" s="13" t="s">
        <v>580</v>
      </c>
      <c r="B7" s="13" t="s">
        <v>581</v>
      </c>
      <c r="C7" s="13" t="s">
        <v>582</v>
      </c>
      <c r="D7" s="13" t="s">
        <v>566</v>
      </c>
      <c r="E7" s="13" t="s">
        <v>567</v>
      </c>
      <c r="F7" s="13" t="s">
        <v>568</v>
      </c>
      <c r="G7" s="13" t="s">
        <v>583</v>
      </c>
      <c r="H7" s="27"/>
      <c r="I7" s="27"/>
      <c r="J7" s="27"/>
      <c r="K7" s="27"/>
      <c r="L7" s="27"/>
      <c r="M7" s="27"/>
      <c r="N7" s="27"/>
      <c r="O7" s="27"/>
      <c r="P7" s="27"/>
      <c r="Q7" s="27"/>
      <c r="R7" s="27"/>
      <c r="S7" s="27"/>
      <c r="T7" s="27"/>
      <c r="U7" s="27"/>
      <c r="V7" s="27"/>
      <c r="W7" s="27"/>
      <c r="X7" s="27"/>
      <c r="Y7" s="27"/>
      <c r="Z7" s="27"/>
    </row>
    <row r="8" ht="22.5" customHeight="1">
      <c r="A8" s="13" t="s">
        <v>584</v>
      </c>
      <c r="B8" s="13" t="s">
        <v>585</v>
      </c>
      <c r="C8" s="13" t="s">
        <v>586</v>
      </c>
      <c r="D8" s="13" t="s">
        <v>566</v>
      </c>
      <c r="E8" s="13" t="s">
        <v>568</v>
      </c>
      <c r="F8" s="13" t="s">
        <v>568</v>
      </c>
      <c r="G8" s="13" t="s">
        <v>587</v>
      </c>
      <c r="H8" s="27"/>
      <c r="I8" s="27"/>
      <c r="J8" s="27"/>
      <c r="K8" s="27"/>
      <c r="L8" s="27"/>
      <c r="M8" s="27"/>
      <c r="N8" s="27"/>
      <c r="O8" s="27"/>
      <c r="P8" s="27"/>
      <c r="Q8" s="27"/>
      <c r="R8" s="27"/>
      <c r="S8" s="27"/>
      <c r="T8" s="27"/>
      <c r="U8" s="27"/>
      <c r="V8" s="27"/>
      <c r="W8" s="27"/>
      <c r="X8" s="27"/>
      <c r="Y8" s="27"/>
      <c r="Z8" s="27"/>
    </row>
    <row r="9" ht="22.5" customHeight="1">
      <c r="A9" s="13" t="s">
        <v>588</v>
      </c>
      <c r="B9" s="13" t="s">
        <v>589</v>
      </c>
      <c r="C9" s="13" t="s">
        <v>590</v>
      </c>
      <c r="D9" s="13" t="s">
        <v>591</v>
      </c>
      <c r="E9" s="13" t="s">
        <v>592</v>
      </c>
      <c r="F9" s="13" t="s">
        <v>554</v>
      </c>
      <c r="G9" s="13" t="s">
        <v>593</v>
      </c>
      <c r="H9" s="27"/>
      <c r="I9" s="27"/>
      <c r="J9" s="27"/>
      <c r="K9" s="27"/>
      <c r="L9" s="27"/>
      <c r="M9" s="27"/>
      <c r="N9" s="27"/>
      <c r="O9" s="27"/>
      <c r="P9" s="27"/>
      <c r="Q9" s="27"/>
      <c r="R9" s="27"/>
      <c r="S9" s="27"/>
      <c r="T9" s="27"/>
      <c r="U9" s="27"/>
      <c r="V9" s="27"/>
      <c r="W9" s="27"/>
      <c r="X9" s="27"/>
      <c r="Y9" s="27"/>
      <c r="Z9" s="27"/>
    </row>
    <row r="10">
      <c r="A10" s="138"/>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139" t="s">
        <v>594</v>
      </c>
      <c r="B11" s="140" t="s">
        <v>595</v>
      </c>
      <c r="C11" s="141"/>
      <c r="D11" s="27"/>
      <c r="E11" s="27"/>
      <c r="F11" s="27"/>
      <c r="G11" s="27"/>
      <c r="H11" s="27"/>
      <c r="I11" s="27"/>
      <c r="J11" s="27"/>
      <c r="K11" s="27"/>
      <c r="L11" s="27"/>
      <c r="M11" s="27"/>
      <c r="N11" s="27"/>
      <c r="O11" s="27"/>
      <c r="P11" s="27"/>
      <c r="Q11" s="27"/>
      <c r="R11" s="27"/>
      <c r="S11" s="27"/>
      <c r="T11" s="27"/>
      <c r="U11" s="27"/>
      <c r="V11" s="27"/>
      <c r="W11" s="27"/>
      <c r="X11" s="27"/>
      <c r="Y11" s="27"/>
      <c r="Z11" s="27"/>
    </row>
    <row r="12">
      <c r="A12" s="142"/>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142" t="s">
        <v>596</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143">
        <v>45855.73888888889</v>
      </c>
      <c r="B14" s="1" t="s">
        <v>597</v>
      </c>
      <c r="C14" s="144" t="s">
        <v>598</v>
      </c>
      <c r="D14" s="140"/>
      <c r="E14" s="27"/>
      <c r="F14" s="27"/>
      <c r="G14" s="27"/>
      <c r="H14" s="27"/>
      <c r="I14" s="27"/>
      <c r="J14" s="27"/>
      <c r="K14" s="27"/>
      <c r="L14" s="27"/>
      <c r="M14" s="27"/>
      <c r="N14" s="27"/>
      <c r="O14" s="27"/>
      <c r="P14" s="27"/>
      <c r="Q14" s="27"/>
      <c r="R14" s="27"/>
      <c r="S14" s="27"/>
      <c r="T14" s="27"/>
      <c r="U14" s="27"/>
      <c r="V14" s="27"/>
      <c r="W14" s="27"/>
      <c r="X14" s="27"/>
      <c r="Y14" s="27"/>
      <c r="Z14" s="27"/>
    </row>
    <row r="15">
      <c r="C15" s="140"/>
      <c r="D15" s="140"/>
      <c r="E15" s="27"/>
      <c r="F15" s="27"/>
      <c r="G15" s="27"/>
      <c r="H15" s="27"/>
      <c r="I15" s="27"/>
      <c r="J15" s="27"/>
      <c r="K15" s="27"/>
      <c r="L15" s="27"/>
      <c r="M15" s="27"/>
      <c r="N15" s="27"/>
      <c r="O15" s="27"/>
      <c r="P15" s="27"/>
      <c r="Q15" s="27"/>
      <c r="R15" s="27"/>
      <c r="S15" s="27"/>
      <c r="T15" s="27"/>
      <c r="U15" s="27"/>
      <c r="V15" s="27"/>
      <c r="W15" s="27"/>
      <c r="X15" s="27"/>
      <c r="Y15" s="27"/>
      <c r="Z15" s="27"/>
    </row>
    <row r="16">
      <c r="C16" s="140" t="s">
        <v>599</v>
      </c>
      <c r="D16" s="140"/>
      <c r="E16" s="27"/>
      <c r="F16" s="27"/>
      <c r="G16" s="27"/>
      <c r="H16" s="27"/>
      <c r="I16" s="27"/>
      <c r="J16" s="27"/>
      <c r="K16" s="27"/>
      <c r="L16" s="27"/>
      <c r="M16" s="27"/>
      <c r="N16" s="27"/>
      <c r="O16" s="27"/>
      <c r="P16" s="27"/>
      <c r="Q16" s="27"/>
      <c r="R16" s="27"/>
      <c r="S16" s="27"/>
      <c r="T16" s="27"/>
      <c r="U16" s="27"/>
      <c r="V16" s="27"/>
      <c r="W16" s="27"/>
      <c r="X16" s="27"/>
      <c r="Y16" s="27"/>
      <c r="Z16" s="27"/>
    </row>
    <row r="17">
      <c r="C17" s="140" t="s">
        <v>600</v>
      </c>
      <c r="D17" s="27"/>
      <c r="E17" s="27"/>
      <c r="F17" s="27"/>
      <c r="G17" s="27"/>
      <c r="H17" s="27"/>
      <c r="I17" s="27"/>
      <c r="J17" s="27"/>
      <c r="K17" s="27"/>
      <c r="L17" s="27"/>
      <c r="M17" s="27"/>
      <c r="N17" s="27"/>
      <c r="O17" s="27"/>
      <c r="P17" s="27"/>
      <c r="Q17" s="27"/>
      <c r="R17" s="27"/>
      <c r="S17" s="27"/>
      <c r="T17" s="27"/>
      <c r="U17" s="27"/>
      <c r="V17" s="27"/>
      <c r="W17" s="27"/>
      <c r="X17" s="27"/>
      <c r="Y17" s="27"/>
      <c r="Z17" s="27"/>
    </row>
    <row r="18">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C19" s="140" t="s">
        <v>601</v>
      </c>
      <c r="D19" s="27"/>
      <c r="E19" s="27"/>
      <c r="F19" s="27"/>
      <c r="G19" s="27"/>
      <c r="H19" s="27"/>
      <c r="I19" s="27"/>
      <c r="J19" s="27"/>
      <c r="K19" s="27"/>
      <c r="L19" s="27"/>
      <c r="M19" s="27"/>
      <c r="N19" s="27"/>
      <c r="O19" s="27"/>
      <c r="P19" s="27"/>
      <c r="Q19" s="27"/>
      <c r="R19" s="27"/>
      <c r="S19" s="27"/>
      <c r="T19" s="27"/>
      <c r="U19" s="27"/>
      <c r="V19" s="27"/>
      <c r="W19" s="27"/>
      <c r="X19" s="27"/>
      <c r="Y19" s="27"/>
      <c r="Z19" s="27"/>
    </row>
    <row r="20">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C21" s="140" t="s">
        <v>602</v>
      </c>
      <c r="D21" s="27"/>
      <c r="E21" s="27"/>
      <c r="F21" s="27"/>
      <c r="G21" s="27"/>
      <c r="H21" s="27"/>
      <c r="I21" s="27"/>
      <c r="J21" s="27"/>
      <c r="K21" s="27"/>
      <c r="L21" s="27"/>
      <c r="M21" s="27"/>
      <c r="N21" s="27"/>
      <c r="O21" s="27"/>
      <c r="P21" s="27"/>
      <c r="Q21" s="27"/>
      <c r="R21" s="27"/>
      <c r="S21" s="27"/>
      <c r="T21" s="27"/>
      <c r="U21" s="27"/>
      <c r="V21" s="27"/>
      <c r="W21" s="27"/>
      <c r="X21" s="27"/>
      <c r="Y21" s="27"/>
      <c r="Z21" s="27"/>
    </row>
    <row r="22">
      <c r="C22" s="140" t="s">
        <v>603</v>
      </c>
      <c r="D22" s="27"/>
      <c r="E22" s="27"/>
      <c r="F22" s="27"/>
      <c r="G22" s="27"/>
      <c r="H22" s="27"/>
      <c r="I22" s="27"/>
      <c r="J22" s="27"/>
      <c r="K22" s="27"/>
      <c r="L22" s="27"/>
      <c r="M22" s="27"/>
      <c r="N22" s="27"/>
      <c r="O22" s="27"/>
      <c r="P22" s="27"/>
      <c r="Q22" s="27"/>
      <c r="R22" s="27"/>
      <c r="S22" s="27"/>
      <c r="T22" s="27"/>
      <c r="U22" s="27"/>
      <c r="V22" s="27"/>
      <c r="W22" s="27"/>
      <c r="X22" s="27"/>
      <c r="Y22" s="27"/>
      <c r="Z22" s="27"/>
    </row>
    <row r="23">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C24" s="140" t="s">
        <v>604</v>
      </c>
      <c r="D24" s="27"/>
      <c r="E24" s="27"/>
      <c r="F24" s="27"/>
      <c r="G24" s="27"/>
      <c r="H24" s="27"/>
      <c r="I24" s="27"/>
      <c r="J24" s="27"/>
      <c r="K24" s="27"/>
      <c r="L24" s="27"/>
      <c r="M24" s="27"/>
      <c r="N24" s="27"/>
      <c r="O24" s="27"/>
      <c r="P24" s="27"/>
      <c r="Q24" s="27"/>
      <c r="R24" s="27"/>
      <c r="S24" s="27"/>
      <c r="T24" s="27"/>
      <c r="U24" s="27"/>
      <c r="V24" s="27"/>
      <c r="W24" s="27"/>
      <c r="X24" s="27"/>
      <c r="Y24" s="27"/>
      <c r="Z24" s="27"/>
    </row>
    <row r="25">
      <c r="C25" s="140" t="s">
        <v>605</v>
      </c>
      <c r="D25" s="27"/>
      <c r="E25" s="27"/>
      <c r="F25" s="27"/>
      <c r="G25" s="27"/>
      <c r="H25" s="27"/>
      <c r="I25" s="27"/>
      <c r="J25" s="27"/>
      <c r="K25" s="27"/>
      <c r="L25" s="27"/>
      <c r="M25" s="27"/>
      <c r="N25" s="27"/>
      <c r="O25" s="27"/>
      <c r="P25" s="27"/>
      <c r="Q25" s="27"/>
      <c r="R25" s="27"/>
      <c r="S25" s="27"/>
      <c r="T25" s="27"/>
      <c r="U25" s="27"/>
      <c r="V25" s="27"/>
      <c r="W25" s="27"/>
      <c r="X25" s="27"/>
      <c r="Y25" s="27"/>
      <c r="Z25" s="27"/>
    </row>
    <row r="26">
      <c r="C26" s="140" t="s">
        <v>606</v>
      </c>
      <c r="D26" s="27"/>
      <c r="E26" s="27"/>
      <c r="F26" s="27"/>
      <c r="G26" s="27"/>
      <c r="H26" s="27"/>
      <c r="I26" s="27"/>
      <c r="J26" s="27"/>
      <c r="K26" s="27"/>
      <c r="L26" s="27"/>
      <c r="M26" s="27"/>
      <c r="N26" s="27"/>
      <c r="O26" s="27"/>
      <c r="P26" s="27"/>
      <c r="Q26" s="27"/>
      <c r="R26" s="27"/>
      <c r="S26" s="27"/>
      <c r="T26" s="27"/>
      <c r="U26" s="27"/>
      <c r="V26" s="27"/>
      <c r="W26" s="27"/>
      <c r="X26" s="27"/>
      <c r="Y26" s="27"/>
      <c r="Z26" s="27"/>
    </row>
    <row r="27">
      <c r="C27" s="140" t="s">
        <v>607</v>
      </c>
      <c r="D27" s="27"/>
      <c r="E27" s="27"/>
      <c r="F27" s="27"/>
      <c r="G27" s="27"/>
      <c r="H27" s="27"/>
      <c r="I27" s="27"/>
      <c r="J27" s="27"/>
      <c r="K27" s="27"/>
      <c r="L27" s="27"/>
      <c r="M27" s="27"/>
      <c r="N27" s="27"/>
      <c r="O27" s="27"/>
      <c r="P27" s="27"/>
      <c r="Q27" s="27"/>
      <c r="R27" s="27"/>
      <c r="S27" s="27"/>
      <c r="T27" s="27"/>
      <c r="U27" s="27"/>
      <c r="V27" s="27"/>
      <c r="W27" s="27"/>
      <c r="X27" s="27"/>
      <c r="Y27" s="27"/>
      <c r="Z27" s="27"/>
    </row>
    <row r="28">
      <c r="C28" s="140" t="s">
        <v>608</v>
      </c>
      <c r="D28" s="27"/>
      <c r="E28" s="27"/>
      <c r="F28" s="27"/>
      <c r="G28" s="27"/>
      <c r="H28" s="27"/>
      <c r="I28" s="27"/>
      <c r="J28" s="27"/>
      <c r="K28" s="27"/>
      <c r="L28" s="27"/>
      <c r="M28" s="27"/>
      <c r="N28" s="27"/>
      <c r="O28" s="27"/>
      <c r="P28" s="27"/>
      <c r="Q28" s="27"/>
      <c r="R28" s="27"/>
      <c r="S28" s="27"/>
      <c r="T28" s="27"/>
      <c r="U28" s="27"/>
      <c r="V28" s="27"/>
      <c r="W28" s="27"/>
      <c r="X28" s="27"/>
      <c r="Y28" s="27"/>
      <c r="Z28" s="27"/>
    </row>
    <row r="29">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C30" s="140" t="s">
        <v>609</v>
      </c>
      <c r="D30" s="27"/>
      <c r="E30" s="27"/>
      <c r="F30" s="27"/>
      <c r="G30" s="27"/>
      <c r="H30" s="27"/>
      <c r="I30" s="27"/>
      <c r="J30" s="27"/>
      <c r="K30" s="27"/>
      <c r="L30" s="27"/>
      <c r="M30" s="27"/>
      <c r="N30" s="27"/>
      <c r="O30" s="27"/>
      <c r="P30" s="27"/>
      <c r="Q30" s="27"/>
      <c r="R30" s="27"/>
      <c r="S30" s="27"/>
      <c r="T30" s="27"/>
      <c r="U30" s="27"/>
      <c r="V30" s="27"/>
      <c r="W30" s="27"/>
      <c r="X30" s="27"/>
      <c r="Y30" s="27"/>
      <c r="Z30" s="27"/>
    </row>
    <row r="31">
      <c r="C31" s="140" t="s">
        <v>610</v>
      </c>
      <c r="D31" s="27"/>
      <c r="E31" s="27"/>
      <c r="F31" s="27"/>
      <c r="G31" s="27"/>
      <c r="H31" s="27"/>
      <c r="I31" s="27"/>
      <c r="J31" s="27"/>
      <c r="K31" s="27"/>
      <c r="L31" s="27"/>
      <c r="M31" s="27"/>
      <c r="N31" s="27"/>
      <c r="O31" s="27"/>
      <c r="P31" s="27"/>
      <c r="Q31" s="27"/>
      <c r="R31" s="27"/>
      <c r="S31" s="27"/>
      <c r="T31" s="27"/>
      <c r="U31" s="27"/>
      <c r="V31" s="27"/>
      <c r="W31" s="27"/>
      <c r="X31" s="27"/>
      <c r="Y31" s="27"/>
      <c r="Z31" s="27"/>
    </row>
    <row r="32">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C33" s="140" t="s">
        <v>611</v>
      </c>
      <c r="D33" s="27"/>
      <c r="E33" s="27"/>
      <c r="F33" s="27"/>
      <c r="G33" s="27"/>
      <c r="H33" s="27"/>
      <c r="I33" s="27"/>
      <c r="J33" s="27"/>
      <c r="K33" s="27"/>
      <c r="L33" s="27"/>
      <c r="M33" s="27"/>
      <c r="N33" s="27"/>
      <c r="O33" s="27"/>
      <c r="P33" s="27"/>
      <c r="Q33" s="27"/>
      <c r="R33" s="27"/>
      <c r="S33" s="27"/>
      <c r="T33" s="27"/>
      <c r="U33" s="27"/>
      <c r="V33" s="27"/>
      <c r="W33" s="27"/>
      <c r="X33" s="27"/>
      <c r="Y33" s="27"/>
      <c r="Z33" s="27"/>
    </row>
    <row r="34">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C35" s="140" t="s">
        <v>612</v>
      </c>
      <c r="D35" s="27"/>
      <c r="E35" s="27"/>
      <c r="F35" s="27"/>
      <c r="G35" s="27"/>
      <c r="H35" s="27"/>
      <c r="I35" s="27"/>
      <c r="J35" s="27"/>
      <c r="K35" s="27"/>
      <c r="L35" s="27"/>
      <c r="M35" s="27"/>
      <c r="N35" s="27"/>
      <c r="O35" s="27"/>
      <c r="P35" s="27"/>
      <c r="Q35" s="27"/>
      <c r="R35" s="27"/>
      <c r="S35" s="27"/>
      <c r="T35" s="27"/>
      <c r="U35" s="27"/>
      <c r="V35" s="27"/>
      <c r="W35" s="27"/>
      <c r="X35" s="27"/>
      <c r="Y35" s="27"/>
      <c r="Z35" s="27"/>
    </row>
    <row r="36">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145">
        <v>45856.680555555555</v>
      </c>
      <c r="B37" s="140" t="s">
        <v>613</v>
      </c>
      <c r="C37" s="140" t="s">
        <v>614</v>
      </c>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140" t="s">
        <v>615</v>
      </c>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140" t="s">
        <v>616</v>
      </c>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145">
        <v>45856.729166666664</v>
      </c>
      <c r="B41" s="140" t="s">
        <v>617</v>
      </c>
      <c r="C41" s="140" t="s">
        <v>618</v>
      </c>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140" t="s">
        <v>619</v>
      </c>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140" t="s">
        <v>620</v>
      </c>
      <c r="D43" s="5"/>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140" t="s">
        <v>621</v>
      </c>
      <c r="D44" s="5"/>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140" t="s">
        <v>622</v>
      </c>
      <c r="D45" s="5"/>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140" t="s">
        <v>623</v>
      </c>
      <c r="D46" s="5"/>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140"/>
      <c r="D47" s="5"/>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140" t="s">
        <v>624</v>
      </c>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140" t="s">
        <v>625</v>
      </c>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140" t="s">
        <v>626</v>
      </c>
      <c r="D50" s="8"/>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140" t="s">
        <v>627</v>
      </c>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140" t="s">
        <v>628</v>
      </c>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E53" s="27"/>
      <c r="F53" s="27"/>
      <c r="G53" s="27"/>
      <c r="H53" s="27"/>
      <c r="I53" s="27"/>
      <c r="J53" s="27"/>
      <c r="K53" s="27"/>
      <c r="L53" s="27"/>
      <c r="M53" s="27"/>
      <c r="N53" s="27"/>
      <c r="O53" s="27"/>
      <c r="P53" s="27"/>
      <c r="Q53" s="27"/>
      <c r="R53" s="27"/>
      <c r="S53" s="27"/>
      <c r="T53" s="27"/>
      <c r="U53" s="27"/>
      <c r="V53" s="27"/>
      <c r="W53" s="27"/>
      <c r="X53" s="27"/>
      <c r="Y53" s="27"/>
      <c r="Z53" s="27"/>
    </row>
    <row r="54">
      <c r="A54" s="145">
        <v>45859.541666666664</v>
      </c>
      <c r="B54" s="140" t="s">
        <v>617</v>
      </c>
      <c r="C54" s="140" t="s">
        <v>629</v>
      </c>
      <c r="E54" s="5" t="s">
        <v>630</v>
      </c>
      <c r="F54" s="7" t="s">
        <v>631</v>
      </c>
      <c r="G54" s="27"/>
      <c r="H54" s="27"/>
      <c r="I54" s="27"/>
      <c r="J54" s="27"/>
      <c r="K54" s="27"/>
      <c r="L54" s="27"/>
      <c r="M54" s="27"/>
      <c r="N54" s="27"/>
      <c r="O54" s="27"/>
      <c r="P54" s="27"/>
      <c r="Q54" s="27"/>
      <c r="R54" s="27"/>
      <c r="S54" s="27"/>
      <c r="T54" s="27"/>
      <c r="U54" s="27"/>
      <c r="V54" s="27"/>
      <c r="W54" s="27"/>
      <c r="X54" s="27"/>
      <c r="Y54" s="27"/>
      <c r="Z54" s="27"/>
    </row>
    <row r="55">
      <c r="A55" s="27"/>
      <c r="B55" s="27"/>
      <c r="C55" s="140" t="s">
        <v>632</v>
      </c>
      <c r="E55" s="5" t="s">
        <v>633</v>
      </c>
      <c r="F55" s="7" t="s">
        <v>634</v>
      </c>
      <c r="G55" s="27"/>
      <c r="H55" s="27"/>
      <c r="I55" s="27"/>
      <c r="J55" s="27"/>
      <c r="K55" s="27"/>
      <c r="L55" s="27"/>
      <c r="M55" s="27"/>
      <c r="N55" s="27"/>
      <c r="O55" s="27"/>
      <c r="P55" s="27"/>
      <c r="Q55" s="27"/>
      <c r="R55" s="27"/>
      <c r="S55" s="27"/>
      <c r="T55" s="27"/>
      <c r="U55" s="27"/>
      <c r="V55" s="27"/>
      <c r="W55" s="27"/>
      <c r="X55" s="27"/>
      <c r="Y55" s="27"/>
      <c r="Z55" s="27"/>
    </row>
    <row r="56">
      <c r="A56" s="27"/>
      <c r="B56" s="27"/>
      <c r="C56" s="140"/>
      <c r="E56" s="27"/>
      <c r="F56" s="27"/>
      <c r="G56" s="27"/>
      <c r="H56" s="27"/>
      <c r="I56" s="27"/>
      <c r="J56" s="27"/>
      <c r="K56" s="27"/>
      <c r="L56" s="27"/>
      <c r="M56" s="27"/>
      <c r="N56" s="27"/>
      <c r="O56" s="27"/>
      <c r="P56" s="27"/>
      <c r="Q56" s="27"/>
      <c r="R56" s="27"/>
      <c r="S56" s="27"/>
      <c r="T56" s="27"/>
      <c r="U56" s="27"/>
      <c r="V56" s="27"/>
      <c r="W56" s="27"/>
      <c r="X56" s="27"/>
      <c r="Y56" s="27"/>
      <c r="Z56" s="27"/>
    </row>
    <row r="57">
      <c r="A57" s="145">
        <v>45859.665972222225</v>
      </c>
      <c r="B57" s="140" t="s">
        <v>635</v>
      </c>
      <c r="C57" s="140" t="s">
        <v>636</v>
      </c>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145">
        <v>45860.75</v>
      </c>
      <c r="B59" s="140" t="s">
        <v>617</v>
      </c>
      <c r="C59" s="140" t="s">
        <v>637</v>
      </c>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sheetData>
  <hyperlinks>
    <hyperlink r:id="rId1" ref="A11"/>
    <hyperlink r:id="rId2" ref="F54"/>
    <hyperlink r:id="rId3" ref="F55"/>
  </hyperlinks>
  <drawing r:id="rId4"/>
  <tableParts count="1">
    <tablePart r:id="rId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1" width="12.38"/>
    <col customWidth="1" min="12" max="12" width="24.38"/>
    <col customWidth="1" min="13" max="13" width="22.75"/>
    <col customWidth="1" min="14" max="14" width="35.13"/>
    <col customWidth="1" min="15" max="15" width="24.88"/>
    <col customWidth="1" min="16" max="16" width="25.0"/>
  </cols>
  <sheetData>
    <row r="2">
      <c r="B2" s="1" t="s">
        <v>638</v>
      </c>
      <c r="C2" s="1" t="s">
        <v>639</v>
      </c>
      <c r="D2" s="1" t="s">
        <v>640</v>
      </c>
      <c r="E2" s="1" t="s">
        <v>641</v>
      </c>
      <c r="F2" s="1" t="s">
        <v>642</v>
      </c>
      <c r="J2" s="1" t="s">
        <v>638</v>
      </c>
      <c r="K2" s="1" t="s">
        <v>639</v>
      </c>
      <c r="L2" s="1" t="s">
        <v>643</v>
      </c>
      <c r="M2" s="1" t="s">
        <v>641</v>
      </c>
      <c r="N2" s="1" t="s">
        <v>644</v>
      </c>
    </row>
    <row r="3">
      <c r="F3" s="1" t="s">
        <v>645</v>
      </c>
      <c r="J3" s="1" t="s">
        <v>646</v>
      </c>
      <c r="K3" s="1" t="s">
        <v>647</v>
      </c>
      <c r="L3" s="1" t="s">
        <v>648</v>
      </c>
      <c r="M3" s="1" t="s">
        <v>649</v>
      </c>
      <c r="N3" s="1" t="s">
        <v>566</v>
      </c>
      <c r="O3" s="1" t="s">
        <v>650</v>
      </c>
      <c r="P3" s="1" t="s">
        <v>651</v>
      </c>
      <c r="Q3" s="1" t="s">
        <v>652</v>
      </c>
    </row>
    <row r="4">
      <c r="F4" s="1" t="s">
        <v>653</v>
      </c>
      <c r="J4" s="1" t="s">
        <v>646</v>
      </c>
      <c r="K4" s="1" t="s">
        <v>647</v>
      </c>
      <c r="L4" s="1" t="s">
        <v>654</v>
      </c>
      <c r="M4" s="1" t="s">
        <v>655</v>
      </c>
      <c r="N4" s="1" t="s">
        <v>656</v>
      </c>
    </row>
    <row r="5">
      <c r="J5" s="1" t="s">
        <v>646</v>
      </c>
      <c r="K5" s="1" t="s">
        <v>647</v>
      </c>
      <c r="L5" s="1" t="s">
        <v>657</v>
      </c>
      <c r="M5" s="1" t="s">
        <v>658</v>
      </c>
      <c r="N5" s="1" t="s">
        <v>659</v>
      </c>
    </row>
    <row r="6">
      <c r="J6" s="1" t="s">
        <v>646</v>
      </c>
      <c r="K6" s="1" t="s">
        <v>647</v>
      </c>
      <c r="L6" s="1" t="s">
        <v>660</v>
      </c>
      <c r="N6" s="1" t="s">
        <v>661</v>
      </c>
      <c r="O6" s="1"/>
      <c r="P6" s="1"/>
      <c r="Q6" s="1"/>
    </row>
    <row r="7">
      <c r="J7" s="1" t="s">
        <v>646</v>
      </c>
      <c r="K7" s="1" t="s">
        <v>647</v>
      </c>
      <c r="L7" s="1" t="s">
        <v>662</v>
      </c>
      <c r="M7" s="1" t="s">
        <v>663</v>
      </c>
      <c r="N7" s="1" t="s">
        <v>664</v>
      </c>
    </row>
    <row r="8">
      <c r="J8" s="1" t="s">
        <v>646</v>
      </c>
      <c r="K8" s="1" t="s">
        <v>647</v>
      </c>
      <c r="L8" s="1" t="s">
        <v>665</v>
      </c>
      <c r="M8" s="1" t="s">
        <v>666</v>
      </c>
      <c r="N8" s="1">
        <v>0.7</v>
      </c>
    </row>
    <row r="9">
      <c r="J9" s="1" t="s">
        <v>646</v>
      </c>
      <c r="K9" s="1" t="s">
        <v>647</v>
      </c>
      <c r="L9" s="1" t="s">
        <v>667</v>
      </c>
      <c r="M9" s="1" t="s">
        <v>668</v>
      </c>
      <c r="N9" s="1">
        <v>1500.0</v>
      </c>
    </row>
    <row r="10">
      <c r="J10" s="1" t="s">
        <v>646</v>
      </c>
      <c r="K10" s="1" t="s">
        <v>647</v>
      </c>
      <c r="L10" s="1" t="s">
        <v>669</v>
      </c>
      <c r="M10" s="1" t="s">
        <v>670</v>
      </c>
      <c r="N10" s="1">
        <v>30000.0</v>
      </c>
    </row>
    <row r="11">
      <c r="J11" s="1" t="s">
        <v>646</v>
      </c>
      <c r="K11" s="1" t="s">
        <v>647</v>
      </c>
      <c r="L11" s="1" t="s">
        <v>671</v>
      </c>
      <c r="M11" s="1" t="s">
        <v>672</v>
      </c>
      <c r="N11" s="1" t="s">
        <v>673</v>
      </c>
    </row>
    <row r="12">
      <c r="J12" s="1" t="s">
        <v>646</v>
      </c>
      <c r="K12" s="1" t="s">
        <v>647</v>
      </c>
      <c r="L12" s="1" t="s">
        <v>674</v>
      </c>
      <c r="M12" s="1" t="s">
        <v>675</v>
      </c>
      <c r="N12" s="1" t="s">
        <v>676</v>
      </c>
    </row>
    <row r="13">
      <c r="J13" s="1" t="s">
        <v>646</v>
      </c>
      <c r="K13" s="1" t="s">
        <v>647</v>
      </c>
      <c r="L13" s="1" t="s">
        <v>677</v>
      </c>
      <c r="N13" s="1" t="s">
        <v>566</v>
      </c>
    </row>
    <row r="14">
      <c r="J14" s="1" t="s">
        <v>646</v>
      </c>
      <c r="K14" s="1" t="s">
        <v>535</v>
      </c>
      <c r="L14" s="1" t="s">
        <v>648</v>
      </c>
      <c r="M14" s="1" t="s">
        <v>678</v>
      </c>
      <c r="N14" s="1" t="s">
        <v>566</v>
      </c>
      <c r="O14" s="146" t="s">
        <v>679</v>
      </c>
      <c r="P14" s="146" t="s">
        <v>680</v>
      </c>
      <c r="Q14" s="4" t="s">
        <v>681</v>
      </c>
    </row>
    <row r="15">
      <c r="J15" s="1" t="s">
        <v>646</v>
      </c>
      <c r="K15" s="1" t="s">
        <v>535</v>
      </c>
      <c r="L15" s="1" t="s">
        <v>682</v>
      </c>
      <c r="M15" s="1" t="s">
        <v>683</v>
      </c>
      <c r="N15" s="1">
        <v>2.0</v>
      </c>
    </row>
    <row r="16">
      <c r="J16" s="1" t="s">
        <v>646</v>
      </c>
      <c r="K16" s="1" t="s">
        <v>535</v>
      </c>
      <c r="L16" s="1" t="s">
        <v>684</v>
      </c>
      <c r="M16" s="1" t="s">
        <v>685</v>
      </c>
      <c r="N16" s="1">
        <v>3.0</v>
      </c>
    </row>
    <row r="17">
      <c r="J17" s="1" t="s">
        <v>646</v>
      </c>
      <c r="K17" s="1" t="s">
        <v>535</v>
      </c>
      <c r="L17" s="1" t="s">
        <v>686</v>
      </c>
      <c r="M17" s="1" t="s">
        <v>687</v>
      </c>
      <c r="N17" s="1">
        <v>0.0</v>
      </c>
    </row>
    <row r="18">
      <c r="J18" s="1" t="s">
        <v>646</v>
      </c>
      <c r="K18" s="1" t="s">
        <v>535</v>
      </c>
      <c r="L18" s="1" t="s">
        <v>688</v>
      </c>
      <c r="N18" s="1" t="s">
        <v>566</v>
      </c>
    </row>
    <row r="19">
      <c r="J19" s="1" t="s">
        <v>689</v>
      </c>
      <c r="K19" s="1" t="s">
        <v>689</v>
      </c>
      <c r="L19" s="1" t="s">
        <v>690</v>
      </c>
      <c r="M19" s="1" t="s">
        <v>691</v>
      </c>
      <c r="N19" s="1" t="s">
        <v>566</v>
      </c>
    </row>
    <row r="20">
      <c r="J20" s="1" t="s">
        <v>689</v>
      </c>
      <c r="K20" s="1" t="s">
        <v>689</v>
      </c>
      <c r="L20" s="1" t="s">
        <v>692</v>
      </c>
      <c r="N20" s="1" t="s">
        <v>676</v>
      </c>
    </row>
    <row r="21">
      <c r="J21" s="1" t="s">
        <v>689</v>
      </c>
      <c r="K21" s="1" t="s">
        <v>689</v>
      </c>
      <c r="L21" s="1" t="s">
        <v>693</v>
      </c>
      <c r="N21" s="1" t="s">
        <v>673</v>
      </c>
    </row>
    <row r="22">
      <c r="J22" s="1" t="s">
        <v>694</v>
      </c>
      <c r="K22" s="1" t="s">
        <v>695</v>
      </c>
      <c r="L22" s="1" t="s">
        <v>696</v>
      </c>
      <c r="M22" s="1" t="s">
        <v>696</v>
      </c>
      <c r="N22" s="1" t="s">
        <v>566</v>
      </c>
    </row>
    <row r="23">
      <c r="J23" s="1" t="s">
        <v>694</v>
      </c>
      <c r="K23" s="1" t="s">
        <v>695</v>
      </c>
      <c r="L23" s="1" t="s">
        <v>697</v>
      </c>
      <c r="M23" s="1" t="s">
        <v>697</v>
      </c>
      <c r="N23" s="1" t="s">
        <v>698</v>
      </c>
    </row>
  </sheetData>
  <hyperlinks>
    <hyperlink r:id="rId4" ref="O14"/>
    <hyperlink r:id="rId5" ref="P14"/>
    <hyperlink r:id="rId6" ref="Q14"/>
  </hyperlinks>
  <drawing r:id="rId7"/>
  <legacyDrawing r:id="rId8"/>
</worksheet>
</file>