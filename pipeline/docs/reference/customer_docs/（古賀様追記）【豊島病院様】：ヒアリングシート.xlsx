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の説明" sheetId="1" r:id="rId5"/>
    <sheet state="visible" name="①スタッフ招待リスト" sheetId="2" r:id="rId6"/>
    <sheet state="visible" name="②（選択）診療科ヒアリングシート" sheetId="3" r:id="rId7"/>
    <sheet state="hidden" name="②（選択）健診ヒアリングシート " sheetId="4" r:id="rId8"/>
    <sheet state="visible" name="③運用ヒアリングシート" sheetId="5" r:id="rId9"/>
    <sheet state="visible" name="④よくある質問" sheetId="6" r:id="rId10"/>
    <sheet state="visible" name="⑤共有物リンク" sheetId="7" r:id="rId11"/>
    <sheet state="hidden" name="イントネーション" sheetId="8" r:id="rId12"/>
    <sheet state="hidden" name="Log" sheetId="9" r:id="rId13"/>
    <sheet state="hidden" name="単語CSV" sheetId="10" r:id="rId14"/>
    <sheet state="hidden" name="発話マスタ" sheetId="11" r:id="rId15"/>
    <sheet state="hidden" name="変則単語" sheetId="12" r:id="rId16"/>
  </sheets>
  <definedNames/>
  <calcPr/>
</workbook>
</file>

<file path=xl/sharedStrings.xml><?xml version="1.0" encoding="utf-8"?>
<sst xmlns="http://schemas.openxmlformats.org/spreadsheetml/2006/main" count="546" uniqueCount="412">
  <si>
    <t>東京都立豊島病院</t>
  </si>
  <si>
    <t>様用　AI電話準備シート</t>
  </si>
  <si>
    <t>このシートについて</t>
  </si>
  <si>
    <t>AI電話稼働開始までに決定・設定したい項目の一覧になります。</t>
  </si>
  <si>
    <t>貴院内で検討いただき、各項目を回答ください。</t>
  </si>
  <si>
    <t>▼シートマップ</t>
  </si>
  <si>
    <t>回答タイミング</t>
  </si>
  <si>
    <t>対応状況</t>
  </si>
  <si>
    <t>①スタッフ招待リスト</t>
  </si>
  <si>
    <t>キックオフMTG前後</t>
  </si>
  <si>
    <t>AI電話をご利用されるスタッフの皆様へDr.JOYアカウントのご招待をいたします。</t>
  </si>
  <si>
    <t>②（診療科or健診）ヒアリングシート</t>
  </si>
  <si>
    <t>Dr.JOY管理画面へ表示させる診療科・健診コース名と、患者様が発話される可能性のある類義語の確認をお願いします。
また、（C列：AI電話の対応可否）（AA列：転送の場合は転送先電話番号）の記載をお願いします。</t>
  </si>
  <si>
    <t>③運用ヒアリングシート</t>
  </si>
  <si>
    <t>AI電話の稼働時間や利用用途等、ご希望を記載お願いします。</t>
  </si>
  <si>
    <t>④よくある質問</t>
  </si>
  <si>
    <t>稼働後、
貴院で設定することも可能</t>
  </si>
  <si>
    <t>電話対応時によく受ける質問をAIに登録することで、AIが自動で回答をすることが可能です。</t>
  </si>
  <si>
    <t>⑤共有物リンク</t>
  </si>
  <si>
    <t>不要</t>
  </si>
  <si>
    <t xml:space="preserve">Dr.JOYから貴院への共有物に関するリンクをまとめております。				</t>
  </si>
  <si>
    <t>▼フォーム回答依頼</t>
  </si>
  <si>
    <t>周知資料希望確認</t>
  </si>
  <si>
    <r>
      <rPr>
        <rFont val="Arial"/>
        <sz val="9.0"/>
      </rPr>
      <t xml:space="preserve">回答フォームより、ご希望をご回答ください。
</t>
    </r>
    <r>
      <rPr>
        <rFont val="Arial"/>
        <color rgb="FF1155CC"/>
        <sz val="9.0"/>
        <u/>
      </rPr>
      <t>https://docs.google.com/forms/d/e/1FAIpQLSez2CJrWTGCVOxZTQ3d9i2zAr3GbiDlvXNgYU4i0M-AdcLKFg/viewform</t>
    </r>
    <r>
      <rPr>
        <rFont val="Arial"/>
        <sz val="9.0"/>
      </rPr>
      <t xml:space="preserve"> </t>
    </r>
  </si>
  <si>
    <t>▼AI電話に関するマニュアルリンク</t>
  </si>
  <si>
    <t>操作マニュアル（teachme）</t>
  </si>
  <si>
    <t>https://teachme.jp/7884/f/room0RfvU2rl/sf/177237?page=1&amp;sortKey=title&amp;sortOrder=asc&amp;keywordKind=full_text</t>
  </si>
  <si>
    <t xml:space="preserve">操作マニュアル（スライド）	</t>
  </si>
  <si>
    <t>https://drive.google.com/file/d/1238F3fsOqXwnBED9KvFIf3aKheNcq0Q6/view?usp=sharing</t>
  </si>
  <si>
    <t>操作動画</t>
  </si>
  <si>
    <t>https://drive.google.com/drive/folders/1V4E9qxzSX1Yj27tcbwA2KEfvVLBMAQJw?usp=sharing</t>
  </si>
  <si>
    <t>管理者(代表者)アカウントと一般アカウントの権限の違い</t>
  </si>
  <si>
    <t>https://drive.google.com/file/d/1Y3smOi9pbgsN-Mv_Hey_YPOsTR8nasu8/view?usp=sharing</t>
  </si>
  <si>
    <t>周知活動に関して</t>
  </si>
  <si>
    <t>https://drive.google.com/file/d/1X1MuU2HRFGOIPcvoX1OZOPenwU7hIm7B/view?usp=sharing</t>
  </si>
  <si>
    <t>▼AI電話以外のサービス</t>
  </si>
  <si>
    <t>SMS一斉連絡テンプレート</t>
  </si>
  <si>
    <t>https://drive.google.com/file/d/11LJvaVlS_ZbbN5Do4G7MqUbqu8vZoa5f/view?usp=sharing</t>
  </si>
  <si>
    <t>Dr.JOY スタッフ一括招待テンプレート</t>
  </si>
  <si>
    <r>
      <rPr>
        <rFont val="Arial"/>
        <b/>
        <color rgb="FFFF0000"/>
        <sz val="9.0"/>
      </rPr>
      <t xml:space="preserve">対応依頼事項
</t>
    </r>
    <r>
      <rPr>
        <rFont val="Arial"/>
        <b/>
        <color rgb="FF000000"/>
        <sz val="9.0"/>
      </rPr>
      <t>AI電話をご利用されるスタッフの皆様の情報をご記載ください。一人1アカウントでの利用を推奨しておりますが、診療科ごとなど、複数人で同一アカウントをご利用することも可能です。
メールアドレスをお持ちでない方は、</t>
    </r>
    <r>
      <rPr>
        <rFont val="Arial"/>
        <b/>
        <color rgb="FFFF0000"/>
        <sz val="9.0"/>
      </rPr>
      <t>半角英数字8文字以上64文字以内</t>
    </r>
    <r>
      <rPr>
        <rFont val="Arial"/>
        <b/>
        <color rgb="FF000000"/>
        <sz val="9.0"/>
      </rPr>
      <t>で任意のIDをご指定下さい。
既にDr.JOYアカウントをお持ちの方も、AI電話の権限を付与するため、姓名(アカウント名)の記載をお願いします。</t>
    </r>
  </si>
  <si>
    <t>病院記入欄</t>
  </si>
  <si>
    <t>Dr.JOY記入欄</t>
  </si>
  <si>
    <t>姓</t>
  </si>
  <si>
    <t>名</t>
  </si>
  <si>
    <t>せい</t>
  </si>
  <si>
    <t>めい</t>
  </si>
  <si>
    <t>職業</t>
  </si>
  <si>
    <t>ログインID（メールアドレス）</t>
  </si>
  <si>
    <t>代表者</t>
  </si>
  <si>
    <t>招待メール送信</t>
  </si>
  <si>
    <t>グループ招待</t>
  </si>
  <si>
    <t>シナリオ
権限付与</t>
  </si>
  <si>
    <t>16文字まで</t>
  </si>
  <si>
    <t>選択して下さい</t>
  </si>
  <si>
    <t>半角英数字8文字以上64文字以内</t>
  </si>
  <si>
    <r>
      <rPr>
        <rFont val="Arial"/>
        <sz val="11.0"/>
      </rPr>
      <t xml:space="preserve">代表者のみ「〇」を記載
</t>
    </r>
    <r>
      <rPr>
        <rFont val="Arial"/>
        <color rgb="FF0000FF"/>
        <sz val="11.0"/>
        <u/>
      </rPr>
      <t>代表者とは</t>
    </r>
  </si>
  <si>
    <r>
      <rPr>
        <rFont val="Arial"/>
        <color rgb="FFFF0000"/>
        <sz val="12.0"/>
      </rPr>
      <t>例）</t>
    </r>
    <r>
      <rPr>
        <rFont val="Arial"/>
        <color theme="1"/>
        <sz val="12.0"/>
      </rPr>
      <t>若林</t>
    </r>
  </si>
  <si>
    <t>太郎</t>
  </si>
  <si>
    <t>わかばやし</t>
  </si>
  <si>
    <t>たろう</t>
  </si>
  <si>
    <t>事務</t>
  </si>
  <si>
    <t>sample@drjoy.jp</t>
  </si>
  <si>
    <t>〇</t>
  </si>
  <si>
    <r>
      <rPr>
        <rFont val="Arial"/>
        <color rgb="FFFF0000"/>
        <sz val="12.0"/>
      </rPr>
      <t>例）</t>
    </r>
    <r>
      <rPr>
        <rFont val="Arial"/>
        <color theme="1"/>
        <sz val="12.0"/>
      </rPr>
      <t>医事科</t>
    </r>
  </si>
  <si>
    <t>①</t>
  </si>
  <si>
    <t>いじか</t>
  </si>
  <si>
    <t>いち</t>
  </si>
  <si>
    <t>drjoy_denwa_01</t>
  </si>
  <si>
    <t>宮川</t>
  </si>
  <si>
    <t>聡史</t>
  </si>
  <si>
    <t>みやかわ</t>
  </si>
  <si>
    <t>さとし</t>
  </si>
  <si>
    <t>satoshi_miyakawa@tmhp.jp</t>
  </si>
  <si>
    <t>済</t>
  </si>
  <si>
    <t>山村</t>
  </si>
  <si>
    <t>恭一</t>
  </si>
  <si>
    <t>やまむら</t>
  </si>
  <si>
    <t>きょういち</t>
  </si>
  <si>
    <t>kyouichi_1_yamamura@tmhp.jp</t>
  </si>
  <si>
    <t>高木</t>
  </si>
  <si>
    <t>由紀子</t>
  </si>
  <si>
    <t>たかぎ</t>
  </si>
  <si>
    <t>ゆきこ</t>
  </si>
  <si>
    <t>yukiko_takagi@tmhp.jp</t>
  </si>
  <si>
    <t>移川</t>
  </si>
  <si>
    <t>恭代</t>
  </si>
  <si>
    <t>うつしかわ</t>
  </si>
  <si>
    <t>やすよ</t>
  </si>
  <si>
    <t>yasuyo_utsushikawa@tmhp.jp</t>
  </si>
  <si>
    <t>小林</t>
  </si>
  <si>
    <t>悠衣</t>
  </si>
  <si>
    <t>こばやし</t>
  </si>
  <si>
    <t>ゆい</t>
  </si>
  <si>
    <t>yui_matsumura@tmhp.jp</t>
  </si>
  <si>
    <t>岩尾</t>
  </si>
  <si>
    <t>真由美</t>
  </si>
  <si>
    <t>いわお</t>
  </si>
  <si>
    <t>まゆみ</t>
  </si>
  <si>
    <t>mayumi_iwao@tmhp.jp</t>
  </si>
  <si>
    <t>辻</t>
  </si>
  <si>
    <t>佑好</t>
  </si>
  <si>
    <t>つじ</t>
  </si>
  <si>
    <t>ゆうこ</t>
  </si>
  <si>
    <t>yuko_tsuji@tmhp.jp</t>
  </si>
  <si>
    <t>鹿内</t>
  </si>
  <si>
    <t>弘実</t>
  </si>
  <si>
    <t>しかうち</t>
  </si>
  <si>
    <t>ひろみ</t>
  </si>
  <si>
    <t>hiromi_shikauchi@tmhp.jp</t>
  </si>
  <si>
    <t>中井</t>
  </si>
  <si>
    <t>賢太</t>
  </si>
  <si>
    <t>なかい</t>
  </si>
  <si>
    <t>けんた</t>
  </si>
  <si>
    <t>kenta_nakai@tmhp.jp</t>
  </si>
  <si>
    <t>古賀</t>
  </si>
  <si>
    <t>大意</t>
  </si>
  <si>
    <t>こが</t>
  </si>
  <si>
    <t>だいい</t>
  </si>
  <si>
    <t>daii_koga@tmhp.jp</t>
  </si>
  <si>
    <t>○</t>
  </si>
  <si>
    <t>診療科ヒアリングシート</t>
  </si>
  <si>
    <t>↑</t>
  </si>
  <si>
    <t>類義語足りなければプラスを押す</t>
  </si>
  <si>
    <t>対応依頼事項</t>
  </si>
  <si>
    <t>B列【登録診療科名】・・・貴院HPに記載のある診療科名を記載しております。Dr.JOY管理画面へ表示させる診療科名となるため、ご確認をお願いします。表示名を変える場合は、ご修正ください。</t>
  </si>
  <si>
    <t>D列以降【類義語】・・・B列の診療科名に対して、患者さんが発話される可能性のある別称を記載しております。類義語の追加がございましたら、他の診療科と重複しないよう追記をお願いいたします。</t>
  </si>
  <si>
    <t>C列・AA列・・・AI電話で内容を受け付けない診療科や、転送をする診療科があればC列に記載ください。また、転送の場合はAA列に転送先番号を記載ください。</t>
  </si>
  <si>
    <t>No.</t>
  </si>
  <si>
    <r>
      <rPr>
        <rFont val="Arial"/>
        <b/>
        <color theme="1"/>
        <sz val="11.0"/>
      </rPr>
      <t xml:space="preserve">登録診療科名
</t>
    </r>
    <r>
      <rPr>
        <rFont val="Arial"/>
        <b val="0"/>
        <color theme="1"/>
        <sz val="11.0"/>
      </rPr>
      <t>(Dr.JOY管理画面へ表示する名称)</t>
    </r>
  </si>
  <si>
    <t>AI電話対応可否
(〇可 / ×不可 / △転送)</t>
  </si>
  <si>
    <t>類義語</t>
  </si>
  <si>
    <t>備考
(転送先電話番号)</t>
  </si>
  <si>
    <t>例</t>
  </si>
  <si>
    <t>総合内科</t>
  </si>
  <si>
    <t>ないか</t>
  </si>
  <si>
    <t>そうごう</t>
  </si>
  <si>
    <t>そうない</t>
  </si>
  <si>
    <t>0XX-XXX-XXXX</t>
  </si>
  <si>
    <t>循環器内科</t>
  </si>
  <si>
    <t>じゅんない</t>
  </si>
  <si>
    <t>じゅんかん</t>
  </si>
  <si>
    <t>じゅんかんき</t>
  </si>
  <si>
    <t>呼吸器内科</t>
  </si>
  <si>
    <t>こきゅうき</t>
  </si>
  <si>
    <t>こない</t>
  </si>
  <si>
    <t>こきゅう</t>
  </si>
  <si>
    <t>消化器内科</t>
  </si>
  <si>
    <t>しょうかき</t>
  </si>
  <si>
    <t>しょうない</t>
  </si>
  <si>
    <t>いちょうか</t>
  </si>
  <si>
    <t>しょうかきびょう</t>
  </si>
  <si>
    <t>脳神経内科</t>
  </si>
  <si>
    <t>のうない</t>
  </si>
  <si>
    <t>のうしん</t>
  </si>
  <si>
    <t>しんけい</t>
  </si>
  <si>
    <t>内分泌代謝内科</t>
  </si>
  <si>
    <t>ないぶん</t>
  </si>
  <si>
    <t>ないぶんぴ</t>
  </si>
  <si>
    <t>ないぶんぴつ</t>
  </si>
  <si>
    <t>とうにょうびょう</t>
  </si>
  <si>
    <t>とうにょう</t>
  </si>
  <si>
    <t>たいしゃ</t>
  </si>
  <si>
    <t>腎臓内科</t>
  </si>
  <si>
    <t>じんない</t>
  </si>
  <si>
    <t>じんぞう</t>
  </si>
  <si>
    <t>じん</t>
  </si>
  <si>
    <t>血液内科</t>
  </si>
  <si>
    <t>けつない</t>
  </si>
  <si>
    <t>けつえき</t>
  </si>
  <si>
    <t>精神科</t>
  </si>
  <si>
    <t>せいしん</t>
  </si>
  <si>
    <t>緩和ケア内科</t>
  </si>
  <si>
    <t>かんわ</t>
  </si>
  <si>
    <t>かんわけあ</t>
  </si>
  <si>
    <t>小児科</t>
  </si>
  <si>
    <t>しょうに</t>
  </si>
  <si>
    <t>リハビリテーション科</t>
  </si>
  <si>
    <t>りは</t>
  </si>
  <si>
    <t>りはびり</t>
  </si>
  <si>
    <t>りはびりてーしょん</t>
  </si>
  <si>
    <t>りはか</t>
  </si>
  <si>
    <t>感染症内科</t>
  </si>
  <si>
    <t>かんせんしょう</t>
  </si>
  <si>
    <t>かんせん</t>
  </si>
  <si>
    <t>輸血科</t>
  </si>
  <si>
    <t>ゆけつ</t>
  </si>
  <si>
    <t>外科</t>
  </si>
  <si>
    <t>乳腺外科</t>
  </si>
  <si>
    <t>にゅうげ</t>
  </si>
  <si>
    <t>にゅうせん</t>
  </si>
  <si>
    <t>整形外科</t>
  </si>
  <si>
    <t>せいけい</t>
  </si>
  <si>
    <t>脳神経外科</t>
  </si>
  <si>
    <t>のうげ</t>
  </si>
  <si>
    <t>のうしんけい</t>
  </si>
  <si>
    <t>形成外科</t>
  </si>
  <si>
    <t>けいせい</t>
  </si>
  <si>
    <t>皮膚科</t>
  </si>
  <si>
    <t>ひふ</t>
  </si>
  <si>
    <t>泌尿器科</t>
  </si>
  <si>
    <t>ひにょうき</t>
  </si>
  <si>
    <t>産婦⼈科</t>
  </si>
  <si>
    <t>さんか</t>
  </si>
  <si>
    <t>ふじんか</t>
  </si>
  <si>
    <t>さんぷ</t>
  </si>
  <si>
    <t>さんふ</t>
  </si>
  <si>
    <t>眼科</t>
  </si>
  <si>
    <t>め</t>
  </si>
  <si>
    <t>⽿⿐咽喉科</t>
  </si>
  <si>
    <t>じびか</t>
  </si>
  <si>
    <t>じび</t>
  </si>
  <si>
    <t>⻭科⼝腔外科</t>
  </si>
  <si>
    <t>しか</t>
  </si>
  <si>
    <t>しかこうくう</t>
  </si>
  <si>
    <t>こうくうげか</t>
  </si>
  <si>
    <t>こうくう</t>
  </si>
  <si>
    <t>麻酔科</t>
  </si>
  <si>
    <t>ますい</t>
  </si>
  <si>
    <t>救急科</t>
  </si>
  <si>
    <t>×</t>
  </si>
  <si>
    <t>きゅうきゅう</t>
  </si>
  <si>
    <t>内科</t>
  </si>
  <si>
    <t>健診ヒアリングシート</t>
  </si>
  <si>
    <r>
      <rPr>
        <rFont val="Arial"/>
        <b/>
        <color theme="1"/>
        <sz val="11.0"/>
      </rPr>
      <t xml:space="preserve">登録健診名
</t>
    </r>
    <r>
      <rPr>
        <rFont val="Arial"/>
        <b val="0"/>
        <color theme="1"/>
        <sz val="11.0"/>
      </rPr>
      <t>(Dr.JOY管理画面へ表示する名称)</t>
    </r>
  </si>
  <si>
    <t>人間ドック</t>
  </si>
  <si>
    <t>にんげんどっく</t>
  </si>
  <si>
    <t>どっく</t>
  </si>
  <si>
    <t>運用ヒアリングシート</t>
  </si>
  <si>
    <t>以下質問項目に対して、D列に貴院の回答をご記入ください。</t>
  </si>
  <si>
    <t>項目</t>
  </si>
  <si>
    <t>ヒアリング内容</t>
  </si>
  <si>
    <t>回答例</t>
  </si>
  <si>
    <t>ご回答</t>
  </si>
  <si>
    <t>運用全般</t>
  </si>
  <si>
    <t>■AI電話の稼働希望曜日・時間をご回答ください。</t>
  </si>
  <si>
    <t>例）(月)～(金)8時～17時
※現在の受付時間と同じ、または＋前後1～2時間とされる施設様が多いです。24時間稼働も実績がございます。</t>
  </si>
  <si>
    <t>検討中</t>
  </si>
  <si>
    <t>■AI電話の稼働開始日のご希望をご回答ください。</t>
  </si>
  <si>
    <t>キックオフミーティングより、1カ月半～2カ月が目安です。</t>
  </si>
  <si>
    <t>■AI電話の使用方法をご回答ください。</t>
  </si>
  <si>
    <t>例）050番号を周知し、患者さんから直接電話を受け付ける。
例）050番号は公開せず、病院代表電話番号から転送して受け付ける。
(転送費用が別途かかります。
また、電話番号の自動取得ができない場合がございます。)</t>
  </si>
  <si>
    <t>シナリオ</t>
  </si>
  <si>
    <t>■AI電話の利用用途をご回答ください。</t>
  </si>
  <si>
    <t>例）診療・健診・地域連携室・疑義照会　など</t>
  </si>
  <si>
    <t>■AI電話で対応する用件をご回答ください。</t>
  </si>
  <si>
    <t>例）新規予約・再診予約・予約変更・キャンセル・その他問い合わせ　など</t>
  </si>
  <si>
    <t>■AI電話で聴取する個人情報を次の中からご選択ください。</t>
  </si>
  <si>
    <t>例）氏名・生年月日・連絡先電話番号・診察券番号。
その他ご希望がある場合は、回答欄に追記ください。</t>
  </si>
  <si>
    <t>よくある質問</t>
  </si>
  <si>
    <t>よくある質問サンプル</t>
  </si>
  <si>
    <t>質問</t>
  </si>
  <si>
    <t>応答内容</t>
  </si>
  <si>
    <t>登録
Dr.JOY記入欄</t>
  </si>
  <si>
    <t>診察券を紛失したのですが、どうしたらいいですか？</t>
  </si>
  <si>
    <t>初診受付で再発行いたしますので、次回来院時にお申し出ください。その際に、再発行代が110円かかりますのでご了承ください。</t>
  </si>
  <si>
    <t>診察券を紛失したのですが、どうしたらいい？</t>
  </si>
  <si>
    <t>初診受付で診察券を再発行いたします。受付でお申し出下さい。</t>
  </si>
  <si>
    <t>紹介状がなくても受診できますか？</t>
  </si>
  <si>
    <t>当院は、地域医療機関との役割分担、医療連携を進めるため紹介予約制となります。事前に紹介状をご準備ください。紹介状がない場合も受診は可能ですが、診療費の他に特別の料金が発生します。</t>
  </si>
  <si>
    <t>当院はかかりつけ医を推奨しているため、紹介状をご準備ください。</t>
  </si>
  <si>
    <t>最寄り駅はどこですか？</t>
  </si>
  <si>
    <t>東武東上線「大山駅」から徒歩8分、「中板橋駅」から徒歩10分です。都営三田線「板橋区役所前駅」から徒歩12分です。</t>
  </si>
  <si>
    <t>初めて受診したいのですが？</t>
  </si>
  <si>
    <t>紹介状をご準備いただき、事前の予約取得をお願いします。</t>
  </si>
  <si>
    <t>駐車場はありますか？</t>
  </si>
  <si>
    <t>屋外と地下2階に一般用と障がい者用合わせて187台分あります。料金は、患者さん及びお付添の方は3時間まで100円、以降1時間毎に100円。お見舞い、ご面会の方は1時間まで100円、以降1時間ごとに200円となります。</t>
  </si>
  <si>
    <t>他の病院からの紹介状を持っていますが…</t>
  </si>
  <si>
    <t>予約取得をおすすめいたします。</t>
  </si>
  <si>
    <t>送迎バスはありますか？</t>
  </si>
  <si>
    <t>送迎バスはありませんので、池袋駅と赤羽駅を経由する民間のバスをご利用ください。国際興業バスの「豊島病院前」が最寄りのバス停となります。</t>
  </si>
  <si>
    <t>予約日に受診できなかった場合は？</t>
  </si>
  <si>
    <t>改めて予約をお取りください</t>
  </si>
  <si>
    <t>何時から病院に入れますか？</t>
  </si>
  <si>
    <t>玄関は、平日及び土曜日8時15分に開きます。なお、受付は8時30分開始となります。</t>
  </si>
  <si>
    <t>別の診療科に初めて受診する場合？</t>
  </si>
  <si>
    <t>当院通院中でも初診扱いの場合は紹介状をご用意ください。</t>
  </si>
  <si>
    <t>院内にカフェやレストランはありますか？</t>
  </si>
  <si>
    <t>1階にレストランがあります。営業時間は、平日11時から15時です。</t>
  </si>
  <si>
    <t>しばらく受診していないのですが…</t>
  </si>
  <si>
    <t>受診歴があっても初診扱いなら紹介状が必要になります。</t>
  </si>
  <si>
    <t>院内に売店はありますか？</t>
  </si>
  <si>
    <t>1階に売店があります。営業時間は、平日7時から21時、休日8時から18時です。</t>
  </si>
  <si>
    <t>セカンドオピニオンについて</t>
  </si>
  <si>
    <t>別の医療機関で意見を得て、納得して治療を受けることができます。</t>
  </si>
  <si>
    <t>院内にATMはありますか？</t>
  </si>
  <si>
    <t>1階にセブン銀行のATMがあり、終日利用できます。</t>
  </si>
  <si>
    <t>入院したいのですが？</t>
  </si>
  <si>
    <t>外来診察後、医師の指示により入院手続きになります。</t>
  </si>
  <si>
    <t>院内で郵便を取り扱ってますか？</t>
  </si>
  <si>
    <t>1階の売店内に入院患者用のポストがあります。宅配便や切手等も売店で取り扱ってます。</t>
  </si>
  <si>
    <t>個室はありますか？</t>
  </si>
  <si>
    <t>特別個室、一般個室、2床室があり料金が異なります。</t>
  </si>
  <si>
    <t>院内は禁煙ですか？</t>
  </si>
  <si>
    <t>敷地内全面禁煙です。</t>
  </si>
  <si>
    <t>病室で携帯電話を使用していいですか？</t>
  </si>
  <si>
    <t>マナーモードであれば可。ただし通話はご遠慮ください。</t>
  </si>
  <si>
    <t>面会時間は何時から何時までですか？</t>
  </si>
  <si>
    <t>10時から21時です。</t>
  </si>
  <si>
    <t>入院中に使えるWi-Fiはありますか？</t>
  </si>
  <si>
    <t>外来・病棟エリアで無料Wi-Fiを利用可能です。</t>
  </si>
  <si>
    <t>会計時にクレジットカードは使えますか？</t>
  </si>
  <si>
    <t>現金、クレジットカード、デビットカード、QRコード、電子マネーでお支払いいただけます。</t>
  </si>
  <si>
    <t>現金・クレジット・デビットカード・QR決済が利用できます。</t>
  </si>
  <si>
    <t>会計を後払いすることはできますか？</t>
  </si>
  <si>
    <t>原則当日のお支払いとなります。入院の場合は、退院日が休日の場合、後日会計となります。</t>
  </si>
  <si>
    <t>外来受診時の費用はどれくらい？</t>
  </si>
  <si>
    <t>症状によるため、概算案内はできません。</t>
  </si>
  <si>
    <t>セカンドオピニオンはできますか？</t>
  </si>
  <si>
    <t>当院はセカンドオピニオン外来を実施してます。料金や予約方法等について詳細は当院のホームページをご確認ください。他院へのセカンドオピニオンを希望される場合は、主治医にご相談ください。</t>
  </si>
  <si>
    <t>入院費はどのくらい？</t>
  </si>
  <si>
    <t>治療方針や期間によって異なるため、担当職員にご相談ください</t>
  </si>
  <si>
    <t>里帰り出産はできますか？</t>
  </si>
  <si>
    <t>他院で検診を行い当院での分娩は可能です。おかかりの医療機関から当院あての紹介状をご準備いただき、早めに外来の予約をお願いします。</t>
  </si>
  <si>
    <t>約150台分あります。15分100円（税込）で24時間利用可能。</t>
  </si>
  <si>
    <t>無痛分娩はできますか？</t>
  </si>
  <si>
    <t>当院の妊婦健診におかかりの方は医師又は看護師にご相談ください。他院におかかりの方は紹介状をご準備いただき外来の予約をお願いします。</t>
  </si>
  <si>
    <t>院内にカフェやレストランは？</t>
  </si>
  <si>
    <t>2階に「ガーデンカフェ」があります。（8:30～15:00）。</t>
  </si>
  <si>
    <t>以前豊島病院にかかったことがありますが、初診になりますか？</t>
  </si>
  <si>
    <t>当院での診察が終了、中断した場合は、初診となります。</t>
  </si>
  <si>
    <t>駅（東口）⇔病院間を平日8時～17時45分に運行。</t>
  </si>
  <si>
    <t>現在豊島病院にかかってますが、別の診療科で診てもらう場合は初診になりますか？</t>
  </si>
  <si>
    <t>当院に通院中でも初めて受診する診療科は初診となります。</t>
  </si>
  <si>
    <t>売店はありますか？</t>
  </si>
  <si>
    <t>外来2階にあります。営業時間は7:30～20:00。</t>
  </si>
  <si>
    <t>紹介状が古くても大丈夫ですか？</t>
  </si>
  <si>
    <t>病状等が変わる可能性がありますので、紹介状の有効期限は、概ね3か月以内となります。</t>
  </si>
  <si>
    <t>銀行や郵便局はありますか？</t>
  </si>
  <si>
    <t>院内にはありませんが、2階コンビニ内にATMあります。</t>
  </si>
  <si>
    <t>区の健康診断はできますか？</t>
  </si>
  <si>
    <t>当院は、子宮がん、乳がん、喉頭がん、眼科健診を実施しています。</t>
  </si>
  <si>
    <t>病院内は禁煙ですか？</t>
  </si>
  <si>
    <t>インフルエンザの予防接種は受けられますか？</t>
  </si>
  <si>
    <t>予防接種の予約はお受けできません。当院にかかりつけの方は次回診察時主治医にご相談ください。</t>
  </si>
  <si>
    <t>車いすは借りられますか？</t>
  </si>
  <si>
    <t>正面玄関や駐車場入口などにご用意しています。</t>
  </si>
  <si>
    <t>コロナウイルスの予防接種は受けられますか？</t>
  </si>
  <si>
    <t>予防接種は受けられますか？</t>
  </si>
  <si>
    <t>成人は実施していません。小児のみ行っています。</t>
  </si>
  <si>
    <t>正面玄関で貸し出ししてます。車いすは全部で19台ご用意してます。</t>
  </si>
  <si>
    <t>婦人科検診は受けられますか？</t>
  </si>
  <si>
    <t>自費診療のため、当院では実施していません。</t>
  </si>
  <si>
    <t>入院患者にお見舞いの電報やメールは遅れますか？</t>
  </si>
  <si>
    <t>メールによるお見舞いをお受けしてます。詳細は当院ホームページをご確認ください。</t>
  </si>
  <si>
    <t>お見舞いの電報やメールは送れますか？</t>
  </si>
  <si>
    <t>電報・メールによるお見舞いはご遠慮いただいております。</t>
  </si>
  <si>
    <t>診断書をお願いしたい場合どうしたらいいですか？</t>
  </si>
  <si>
    <t>診察券、身分証明のできるもの（免許証又はマイナンバーカード）を持参し2階の文書受付にお越しください。申請者が患者本人でない場合は、診察券の他、申請者の身分を証明できるものをご持参ください。</t>
  </si>
  <si>
    <t>手術の執刀医や看護師にお礼をしたい…</t>
  </si>
  <si>
    <t>スタッフへの謝礼は固くお断りしています。</t>
  </si>
  <si>
    <t>診断書を郵送で受け取ることはできますか？</t>
  </si>
  <si>
    <t>郵送でのお渡しは可能です。申請時にお申し出ください。</t>
  </si>
  <si>
    <t>ボランティア活動に参加したい</t>
  </si>
  <si>
    <t>現在募集停止中。再開時は「採用情報」に掲載。</t>
  </si>
  <si>
    <t>診断書を郵送で申し込むことはできますか？</t>
  </si>
  <si>
    <t>郵送での申し込みは可能です。診察券と身分証明できるもの（免許証又はマイナンバーカード）のコピー、診断書の種類及び連絡先の電話番号を明記の上、豊島病院文書担当に申し込みください。書類が届きましたら文書担当から折り返しご連絡させていただきます。</t>
  </si>
  <si>
    <t>診断書などの文書依頼は？</t>
  </si>
  <si>
    <t>外来：文書窓口 or 診療科受付。入院中：病棟クラーク。</t>
  </si>
  <si>
    <t>領収書を紛失してしまったので再発行してもらえますか？</t>
  </si>
  <si>
    <t>有料になりますが、再発行は可能です。会計窓口にお申し出ください。</t>
  </si>
  <si>
    <t>日本国籍ではないのですが？</t>
  </si>
  <si>
    <t>パスポート等で本人確認。JCI認証により識別を徹底。</t>
  </si>
  <si>
    <t>主治医の変更はできますか？</t>
  </si>
  <si>
    <t>申し訳ございませんが、主治医の変更は承っておりません。特別な理由がある場合は、「患者相談窓口」にご相談ください。</t>
  </si>
  <si>
    <t>紹介状のひな型はありますか？</t>
  </si>
  <si>
    <t>代表電話「03-1234-5678」にお問い合わせください。</t>
  </si>
  <si>
    <t>病院の診療時間をおしえてください。</t>
  </si>
  <si>
    <t>平日は9時から17時、土曜日は9時から12時半、日曜・祭日は休診となります。</t>
  </si>
  <si>
    <t>病院へのアクセスや道順</t>
  </si>
  <si>
    <t>住所：〒105-5517、東京都港区虎ノ門2丁目6-1、虎ノ門ヒルズステーションタワー17階</t>
  </si>
  <si>
    <t>病院の営業時間・受付時間</t>
  </si>
  <si>
    <t>平日8:30～11:00、13:00～15:00。土曜・日曜・祝日は休診。</t>
  </si>
  <si>
    <t>タクシー乗り場</t>
  </si>
  <si>
    <t>1階車寄せ。呼び出し時は迎車料金が発生。</t>
  </si>
  <si>
    <t>プリペイドカード（テレビ視聴など）</t>
  </si>
  <si>
    <t>テレビは1枚で16時間視聴可能。</t>
  </si>
  <si>
    <t>予約なしで受診できますか？</t>
  </si>
  <si>
    <t>完全予約制のため、救急以外は不可。</t>
  </si>
  <si>
    <t>予約時間に遅刻した場合</t>
  </si>
  <si>
    <t>空き時間対応は可能だが、長時間待つ場合あり。</t>
  </si>
  <si>
    <t>保険証を忘れた場合</t>
  </si>
  <si>
    <t>月内に必ず再来院し提示をお願いします。</t>
  </si>
  <si>
    <t>面会時間は何時まで？</t>
  </si>
  <si>
    <t>9:00～16:00までに受付。17:00以降は面会不可</t>
  </si>
  <si>
    <t>Dr.JOY⇒貴院への共有物</t>
  </si>
  <si>
    <t>弊社からの制作物などの共有リンクを以下へまとめております。</t>
  </si>
  <si>
    <t>カテゴリ</t>
  </si>
  <si>
    <t>内容</t>
  </si>
  <si>
    <t>リンク</t>
  </si>
  <si>
    <t>AI電話番号発番資料</t>
  </si>
  <si>
    <t>貴院のAI電話番号発番に関する資料</t>
  </si>
  <si>
    <t>アカウントログイン情報</t>
  </si>
  <si>
    <t>メールアドレスをお持ちでない方の仮passが記載</t>
  </si>
  <si>
    <t>KMTG・定例MTG資料</t>
  </si>
  <si>
    <t>MTG当日に投影した資料一覧</t>
  </si>
  <si>
    <t>周知資料</t>
  </si>
  <si>
    <t>作成希望をいただいた周知資料を格納</t>
  </si>
  <si>
    <t>文言</t>
  </si>
  <si>
    <t>よみがな</t>
  </si>
  <si>
    <t>イントネーション（TS）</t>
  </si>
  <si>
    <t>日付</t>
  </si>
  <si>
    <t>編集者</t>
  </si>
  <si>
    <t>シート名</t>
  </si>
  <si>
    <t>対象セル</t>
  </si>
  <si>
    <t>変更前</t>
  </si>
  <si>
    <t>変更後</t>
  </si>
  <si>
    <t>単語</t>
  </si>
  <si>
    <t>クラス</t>
  </si>
  <si>
    <t>更新日時</t>
  </si>
  <si>
    <t>このページ内に記載のない診療科がある場合は下記シートへも診療科と発話パターンの記載をしてください</t>
  </si>
  <si>
    <t>診療科発話マスタ</t>
  </si>
  <si>
    <t>このページ内に記載のない変則単語がある場合は下記シートへも単語と読み方の記載をしてください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</si>
</sst>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1">
    <font>
      <sz val="10.0"/>
      <color rgb="FF000000"/>
      <name val="Arial"/>
      <scheme val="minor"/>
    </font>
    <font>
      <sz val="10.0"/>
      <color theme="1"/>
      <name val="Arial"/>
    </font>
    <font>
      <b/>
      <sz val="15.0"/>
      <color theme="1"/>
      <name val="Arial"/>
    </font>
    <font/>
    <font>
      <b/>
      <sz val="10.0"/>
      <color theme="1"/>
      <name val="Arial"/>
    </font>
    <font>
      <b/>
      <sz val="13.0"/>
      <color theme="1"/>
      <name val="Arial"/>
    </font>
    <font>
      <b/>
      <sz val="13.0"/>
      <color rgb="FFFFFFFF"/>
      <name val="Arial"/>
    </font>
    <font>
      <sz val="9.0"/>
      <color theme="1"/>
      <name val="Arial"/>
    </font>
    <font>
      <u/>
      <sz val="9.0"/>
      <color rgb="FF0000FF"/>
      <name val="Arial"/>
    </font>
    <font>
      <u/>
      <sz val="9.0"/>
      <color rgb="FF1155CC"/>
      <name val="Arial"/>
    </font>
    <font>
      <u/>
      <sz val="9.0"/>
      <color rgb="FF1155CC"/>
      <name val="Arial"/>
    </font>
    <font>
      <b/>
      <sz val="21.0"/>
      <color theme="1"/>
      <name val="Arial"/>
    </font>
    <font>
      <b/>
      <sz val="9.0"/>
      <color rgb="FFFF0000"/>
      <name val="Arial"/>
    </font>
    <font>
      <b/>
      <sz val="12.0"/>
      <color theme="1"/>
      <name val="Arial"/>
    </font>
    <font>
      <sz val="11.0"/>
      <color theme="1"/>
      <name val="Arial"/>
    </font>
    <font>
      <u/>
      <sz val="11.0"/>
      <color rgb="FF0000FF"/>
      <name val="Arial"/>
    </font>
    <font>
      <sz val="12.0"/>
      <color theme="1"/>
      <name val="Arial"/>
    </font>
    <font>
      <sz val="10.0"/>
      <color theme="1"/>
      <name val="ＭＳ ゴシック"/>
    </font>
    <font>
      <sz val="10.0"/>
      <color theme="1"/>
      <name val="Quattrocento Sans"/>
    </font>
    <font>
      <b/>
      <sz val="22.0"/>
      <color theme="1"/>
      <name val="Arial"/>
    </font>
    <font>
      <b/>
      <sz val="10.0"/>
      <color rgb="FFFF0000"/>
      <name val="Arial"/>
    </font>
    <font>
      <sz val="10.0"/>
      <color rgb="FFFFFFFF"/>
      <name val="Arial"/>
    </font>
    <font>
      <b/>
      <sz val="11.0"/>
      <color theme="1"/>
      <name val="Arial"/>
    </font>
    <font>
      <sz val="11.0"/>
      <color rgb="FFFF0000"/>
      <name val="Arial"/>
    </font>
    <font>
      <sz val="11.0"/>
      <color rgb="FFFF0000"/>
      <name val="Calibri"/>
    </font>
    <font>
      <b/>
      <sz val="19.0"/>
      <color theme="1"/>
      <name val="Arial"/>
    </font>
    <font>
      <b/>
      <sz val="10.0"/>
      <color rgb="FFFFFFFF"/>
      <name val="Arial"/>
    </font>
    <font>
      <sz val="10.0"/>
      <color theme="1"/>
      <name val="游ゴシック"/>
    </font>
    <font>
      <b/>
      <sz val="21.0"/>
      <color rgb="FF073763"/>
      <name val="Arial"/>
    </font>
    <font>
      <b/>
      <sz val="18.0"/>
      <color rgb="FFFF9900"/>
      <name val="Arial"/>
    </font>
    <font>
      <b/>
      <sz val="12.0"/>
      <color rgb="FF0B5394"/>
      <name val="Arial"/>
    </font>
    <font>
      <b/>
      <sz val="12.0"/>
      <color rgb="FFFFFFFF"/>
      <name val="Arial"/>
    </font>
    <font>
      <sz val="12.0"/>
      <color rgb="FFFF9900"/>
      <name val="Arial"/>
    </font>
    <font>
      <sz val="12.0"/>
      <color theme="1"/>
      <name val="ＭＳ ゴシック"/>
    </font>
    <font>
      <color theme="1"/>
      <name val="Arial"/>
      <scheme val="minor"/>
    </font>
    <font>
      <b/>
      <sz val="18.0"/>
      <color theme="1"/>
      <name val="Arial"/>
    </font>
    <font>
      <u/>
      <sz val="10.0"/>
      <color rgb="FF1155CC"/>
      <name val="Arial"/>
    </font>
    <font>
      <sz val="8.0"/>
      <color theme="1"/>
      <name val="Arial"/>
    </font>
    <font>
      <b/>
      <sz val="8.0"/>
      <color theme="1"/>
      <name val="Arial"/>
    </font>
    <font>
      <b/>
      <sz val="14.0"/>
      <color rgb="FFFF0000"/>
      <name val="Arial"/>
    </font>
    <font>
      <u/>
      <sz val="10.0"/>
      <color theme="1"/>
      <name val="Arial"/>
    </font>
  </fonts>
  <fills count="27">
    <fill>
      <patternFill patternType="none"/>
    </fill>
    <fill>
      <patternFill patternType="lightGray"/>
    </fill>
    <fill>
      <patternFill patternType="solid">
        <fgColor rgb="FFFFE2E6"/>
        <bgColor rgb="FFFFE2E6"/>
      </patternFill>
    </fill>
    <fill>
      <patternFill patternType="solid">
        <fgColor rgb="FF990000"/>
        <bgColor rgb="FF990000"/>
      </patternFill>
    </fill>
    <fill>
      <patternFill patternType="solid">
        <fgColor rgb="FFF3F3F3"/>
        <bgColor rgb="FFF3F3F3"/>
      </patternFill>
    </fill>
    <fill>
      <patternFill patternType="solid">
        <fgColor rgb="FFF4CCCC"/>
        <bgColor rgb="FFF4CCCC"/>
      </patternFill>
    </fill>
    <fill>
      <patternFill patternType="solid">
        <fgColor rgb="FFFFFFFF"/>
        <bgColor rgb="FFFFFFFF"/>
      </patternFill>
    </fill>
    <fill>
      <patternFill patternType="solid">
        <fgColor rgb="FFFFEEBC"/>
        <bgColor rgb="FFFFEEBC"/>
      </patternFill>
    </fill>
    <fill>
      <patternFill patternType="solid">
        <fgColor rgb="FFFFD966"/>
        <bgColor rgb="FFFFD966"/>
      </patternFill>
    </fill>
    <fill>
      <patternFill patternType="solid">
        <fgColor rgb="FF4A86E8"/>
        <bgColor rgb="FF4A86E8"/>
      </patternFill>
    </fill>
    <fill>
      <patternFill patternType="solid">
        <fgColor rgb="FFFFF8E3"/>
        <bgColor rgb="FFFFF8E3"/>
      </patternFill>
    </fill>
    <fill>
      <patternFill patternType="solid">
        <fgColor rgb="FFCFE2F3"/>
        <bgColor rgb="FFCFE2F3"/>
      </patternFill>
    </fill>
    <fill>
      <patternFill patternType="solid">
        <fgColor rgb="FFD9D9D9"/>
        <bgColor rgb="FFD9D9D9"/>
      </patternFill>
    </fill>
    <fill>
      <patternFill patternType="solid">
        <fgColor rgb="FFFCE5CD"/>
        <bgColor rgb="FFFCE5CD"/>
      </patternFill>
    </fill>
    <fill>
      <patternFill patternType="solid">
        <fgColor rgb="FFFFF2E5"/>
        <bgColor rgb="FFFFF2E5"/>
      </patternFill>
    </fill>
    <fill>
      <patternFill patternType="solid">
        <fgColor rgb="FFFCF9ED"/>
        <bgColor rgb="FFFCF9ED"/>
      </patternFill>
    </fill>
    <fill>
      <patternFill patternType="solid">
        <fgColor rgb="FFF6B26B"/>
        <bgColor rgb="FFF6B26B"/>
      </patternFill>
    </fill>
    <fill>
      <patternFill patternType="solid">
        <fgColor rgb="FFD0E0E3"/>
        <bgColor rgb="FFD0E0E3"/>
      </patternFill>
    </fill>
    <fill>
      <patternFill patternType="solid">
        <fgColor rgb="FF134F5C"/>
        <bgColor rgb="FF134F5C"/>
      </patternFill>
    </fill>
    <fill>
      <patternFill patternType="solid">
        <fgColor rgb="FF0C343D"/>
        <bgColor rgb="FF0C343D"/>
      </patternFill>
    </fill>
    <fill>
      <patternFill patternType="solid">
        <fgColor rgb="FFF0F1F2"/>
        <bgColor rgb="FFF0F1F2"/>
      </patternFill>
    </fill>
    <fill>
      <patternFill patternType="solid">
        <fgColor rgb="FFFFF2CC"/>
        <bgColor rgb="FFFFF2CC"/>
      </patternFill>
    </fill>
    <fill>
      <patternFill patternType="solid">
        <fgColor rgb="FF3D85C6"/>
        <bgColor rgb="FF3D85C6"/>
      </patternFill>
    </fill>
    <fill>
      <patternFill patternType="solid">
        <fgColor theme="0"/>
        <bgColor theme="0"/>
      </patternFill>
    </fill>
    <fill>
      <patternFill patternType="solid">
        <fgColor rgb="FFB4A7D6"/>
        <bgColor rgb="FFB4A7D6"/>
      </patternFill>
    </fill>
    <fill>
      <patternFill patternType="solid">
        <fgColor rgb="FF20124D"/>
        <bgColor rgb="FF20124D"/>
      </patternFill>
    </fill>
    <fill>
      <patternFill patternType="solid">
        <fgColor rgb="FFC9DAF8"/>
        <bgColor rgb="FFC9DAF8"/>
      </patternFill>
    </fill>
  </fills>
  <borders count="82">
    <border/>
    <border>
      <left/>
      <top/>
      <bottom style="medium">
        <color rgb="FF000000"/>
      </bottom>
    </border>
    <border>
      <top/>
      <bottom style="medium">
        <color rgb="FF000000"/>
      </bottom>
    </border>
    <border>
      <right/>
      <top/>
      <bottom style="medium">
        <color rgb="FF000000"/>
      </bottom>
    </border>
    <border>
      <bottom style="hair">
        <color rgb="FF000000"/>
      </bottom>
    </border>
    <border>
      <left/>
      <top style="hair">
        <color rgb="FF000000"/>
      </top>
      <bottom style="hair">
        <color rgb="FF000000"/>
      </bottom>
    </border>
    <border>
      <right/>
      <top style="hair">
        <color rgb="FF000000"/>
      </top>
      <bottom style="hair">
        <color rgb="FF000000"/>
      </bottom>
    </border>
    <border>
      <left/>
      <right/>
      <top style="hair">
        <color rgb="FF000000"/>
      </top>
      <bottom style="hair">
        <color rgb="FF000000"/>
      </bottom>
    </border>
    <border>
      <top style="hair">
        <color rgb="FF000000"/>
      </top>
      <bottom style="hair">
        <color rgb="FF000000"/>
      </bottom>
    </border>
    <border>
      <left/>
      <right/>
      <top/>
      <bottom/>
    </border>
    <border>
      <left/>
      <right/>
      <top style="hair">
        <color rgb="FF000000"/>
      </top>
      <bottom/>
    </border>
    <border>
      <left/>
      <right/>
      <top/>
      <bottom style="hair">
        <color rgb="FF000000"/>
      </bottom>
    </border>
    <border>
      <top style="hair">
        <color rgb="FF000000"/>
      </top>
    </border>
    <border>
      <left/>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7F7F7F"/>
      </right>
      <top/>
      <bottom/>
    </border>
    <border>
      <left style="thin">
        <color rgb="FF7F7F7F"/>
      </left>
      <right style="thin">
        <color rgb="FF7F7F7F"/>
      </right>
      <top/>
      <bottom/>
    </border>
    <border>
      <left style="thin">
        <color rgb="FF7F7F7F"/>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bottom style="thin">
        <color rgb="FF000000"/>
      </bottom>
    </border>
    <border>
      <left/>
      <right style="thin">
        <color rgb="FF000000"/>
      </right>
      <top/>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border>
    <border>
      <right style="thin">
        <color rgb="FF000000"/>
      </right>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rder>
    <border>
      <left style="hair">
        <color rgb="FF000000"/>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border>
    <border>
      <left style="thin">
        <color rgb="FF000000"/>
      </left>
      <right style="thin">
        <color rgb="FF000000"/>
      </right>
      <top style="hair">
        <color rgb="FF000000"/>
      </top>
      <bottom style="hair">
        <color rgb="FF000000"/>
      </bottom>
    </border>
    <border>
      <left style="thin">
        <color rgb="FF000000"/>
      </left>
      <right/>
      <bottom style="thin">
        <color rgb="FF000000"/>
      </bottom>
    </border>
    <border>
      <left style="hair">
        <color rgb="FF000000"/>
      </left>
      <right style="hair">
        <color rgb="FF000000"/>
      </right>
      <top style="hair">
        <color rgb="FF000000"/>
      </top>
      <bottom style="thin">
        <color rgb="FF000000"/>
      </bottom>
    </border>
    <border>
      <left style="hair">
        <color rgb="FF000000"/>
      </left>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top style="thin">
        <color rgb="FF000000"/>
      </top>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thin">
        <color rgb="FF000000"/>
      </left>
      <right style="thin">
        <color rgb="FF000000"/>
      </right>
      <top style="thin">
        <color rgb="FF000000"/>
      </top>
      <bottom/>
    </border>
    <border>
      <left style="thin">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434343"/>
      </left>
      <top style="thin">
        <color rgb="FF434343"/>
      </top>
      <bottom/>
    </border>
    <border>
      <right style="hair">
        <color rgb="FFFFFFFF"/>
      </right>
      <top style="thin">
        <color rgb="FF434343"/>
      </top>
      <bottom/>
    </border>
    <border>
      <left style="hair">
        <color rgb="FFFFFFFF"/>
      </left>
      <top style="thin">
        <color rgb="FF434343"/>
      </top>
      <bottom/>
    </border>
    <border>
      <top style="thin">
        <color rgb="FF434343"/>
      </top>
      <bottom/>
    </border>
    <border>
      <right style="thin">
        <color rgb="FF434343"/>
      </right>
      <top style="thin">
        <color rgb="FF434343"/>
      </top>
      <bottom/>
    </border>
    <border>
      <left style="thin">
        <color rgb="FF434343"/>
      </left>
      <top style="hair">
        <color rgb="FF434343"/>
      </top>
      <bottom style="hair">
        <color rgb="FF434343"/>
      </bottom>
    </border>
    <border>
      <right style="hair">
        <color rgb="FF434343"/>
      </right>
      <top style="hair">
        <color rgb="FF434343"/>
      </top>
      <bottom style="hair">
        <color rgb="FF434343"/>
      </bottom>
    </border>
    <border>
      <left style="hair">
        <color rgb="FF434343"/>
      </left>
      <top style="hair">
        <color rgb="FF434343"/>
      </top>
      <bottom style="hair">
        <color rgb="FF434343"/>
      </bottom>
    </border>
    <border>
      <top style="hair">
        <color rgb="FF434343"/>
      </top>
      <bottom style="hair">
        <color rgb="FF434343"/>
      </bottom>
    </border>
    <border>
      <right style="thin">
        <color rgb="FF434343"/>
      </right>
      <top style="hair">
        <color rgb="FF434343"/>
      </top>
      <bottom style="hair">
        <color rgb="FF434343"/>
      </bottom>
    </border>
    <border>
      <left style="thin">
        <color rgb="FF434343"/>
      </left>
      <top style="hair">
        <color rgb="FF434343"/>
      </top>
      <bottom style="thin">
        <color rgb="FF434343"/>
      </bottom>
    </border>
    <border>
      <right style="hair">
        <color rgb="FF434343"/>
      </right>
      <top style="hair">
        <color rgb="FF434343"/>
      </top>
      <bottom style="thin">
        <color rgb="FF434343"/>
      </bottom>
    </border>
    <border>
      <left style="hair">
        <color rgb="FF434343"/>
      </left>
      <top style="hair">
        <color rgb="FF434343"/>
      </top>
      <bottom style="thin">
        <color rgb="FF434343"/>
      </bottom>
    </border>
    <border>
      <top style="hair">
        <color rgb="FF434343"/>
      </top>
      <bottom style="thin">
        <color rgb="FF434343"/>
      </bottom>
    </border>
    <border>
      <right style="thin">
        <color rgb="FF434343"/>
      </right>
      <top style="hair">
        <color rgb="FF434343"/>
      </top>
      <bottom style="thin">
        <color rgb="FF434343"/>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0" fillId="0" fontId="4" numFmtId="0" xfId="0" applyFont="1"/>
    <xf borderId="0" fillId="0" fontId="2" numFmtId="0" xfId="0" applyFont="1"/>
    <xf borderId="4" fillId="0" fontId="5" numFmtId="0" xfId="0" applyBorder="1" applyFont="1"/>
    <xf borderId="4" fillId="0" fontId="3" numFmtId="0" xfId="0" applyBorder="1" applyFont="1"/>
    <xf borderId="4" fillId="0" fontId="1" numFmtId="0" xfId="0" applyBorder="1" applyFont="1"/>
    <xf borderId="4" fillId="0" fontId="1" numFmtId="0" xfId="0" applyAlignment="1" applyBorder="1" applyFont="1">
      <alignment horizontal="center"/>
    </xf>
    <xf borderId="5" fillId="3" fontId="6" numFmtId="0" xfId="0" applyAlignment="1" applyBorder="1" applyFill="1" applyFont="1">
      <alignment horizontal="center"/>
    </xf>
    <xf borderId="6" fillId="0" fontId="3" numFmtId="0" xfId="0" applyBorder="1" applyFont="1"/>
    <xf borderId="7" fillId="4" fontId="1" numFmtId="0" xfId="0" applyBorder="1" applyFill="1" applyFont="1"/>
    <xf borderId="7" fillId="5" fontId="7" numFmtId="0" xfId="0" applyBorder="1" applyFill="1" applyFont="1"/>
    <xf borderId="8" fillId="0" fontId="7" numFmtId="0" xfId="0" applyAlignment="1" applyBorder="1" applyFont="1">
      <alignment shrinkToFit="0" wrapText="1"/>
    </xf>
    <xf borderId="9" fillId="5" fontId="1" numFmtId="0" xfId="0" applyAlignment="1" applyBorder="1" applyFont="1">
      <alignment horizontal="center"/>
    </xf>
    <xf borderId="8" fillId="0" fontId="1" numFmtId="0" xfId="0" applyAlignment="1" applyBorder="1" applyFont="1">
      <alignment shrinkToFit="0" wrapText="1"/>
    </xf>
    <xf borderId="10" fillId="6" fontId="1" numFmtId="0" xfId="0" applyBorder="1" applyFill="1" applyFont="1"/>
    <xf borderId="11" fillId="6" fontId="1" numFmtId="0" xfId="0" applyBorder="1" applyFont="1"/>
    <xf borderId="8" fillId="0" fontId="8" numFmtId="0" xfId="0" applyAlignment="1" applyBorder="1" applyFont="1">
      <alignment shrinkToFit="0" wrapText="1"/>
    </xf>
    <xf borderId="12" fillId="0" fontId="1" numFmtId="0" xfId="0" applyBorder="1" applyFont="1"/>
    <xf borderId="8" fillId="0" fontId="9" numFmtId="0" xfId="0" applyAlignment="1" applyBorder="1" applyFont="1">
      <alignment shrinkToFit="0" wrapText="1"/>
    </xf>
    <xf borderId="13" fillId="3" fontId="6" numFmtId="0" xfId="0" applyAlignment="1" applyBorder="1" applyFont="1">
      <alignment horizontal="center"/>
    </xf>
    <xf borderId="14" fillId="0" fontId="3" numFmtId="0" xfId="0" applyBorder="1" applyFont="1"/>
    <xf borderId="9" fillId="4" fontId="1" numFmtId="0" xfId="0" applyBorder="1" applyFont="1"/>
    <xf borderId="0" fillId="0" fontId="10" numFmtId="0" xfId="0" applyAlignment="1" applyFont="1">
      <alignment shrinkToFit="0" wrapText="1"/>
    </xf>
    <xf borderId="15" fillId="0" fontId="11" numFmtId="0" xfId="0" applyBorder="1" applyFont="1"/>
    <xf borderId="16" fillId="0" fontId="3" numFmtId="0" xfId="0" applyBorder="1" applyFont="1"/>
    <xf borderId="17" fillId="0" fontId="3" numFmtId="0" xfId="0" applyBorder="1" applyFont="1"/>
    <xf borderId="15" fillId="7" fontId="12" numFmtId="0" xfId="0" applyBorder="1" applyFill="1" applyFont="1"/>
    <xf borderId="15" fillId="6" fontId="1" numFmtId="0" xfId="0" applyBorder="1" applyFont="1"/>
    <xf borderId="15" fillId="8" fontId="13" numFmtId="0" xfId="0" applyAlignment="1" applyBorder="1" applyFill="1" applyFont="1">
      <alignment horizontal="center"/>
    </xf>
    <xf borderId="15" fillId="9" fontId="13" numFmtId="0" xfId="0" applyAlignment="1" applyBorder="1" applyFill="1" applyFont="1">
      <alignment horizontal="center"/>
    </xf>
    <xf borderId="18" fillId="10" fontId="13" numFmtId="0" xfId="0" applyAlignment="1" applyBorder="1" applyFill="1" applyFont="1">
      <alignment horizontal="center"/>
    </xf>
    <xf borderId="19" fillId="10" fontId="13" numFmtId="0" xfId="0" applyAlignment="1" applyBorder="1" applyFont="1">
      <alignment horizontal="center"/>
    </xf>
    <xf borderId="20" fillId="10" fontId="13" numFmtId="0" xfId="0" applyAlignment="1" applyBorder="1" applyFont="1">
      <alignment horizontal="center" shrinkToFit="0" wrapText="1"/>
    </xf>
    <xf borderId="21" fillId="10" fontId="13" numFmtId="0" xfId="0" applyAlignment="1" applyBorder="1" applyFont="1">
      <alignment horizontal="center" shrinkToFit="0" wrapText="1"/>
    </xf>
    <xf borderId="22" fillId="11" fontId="13" numFmtId="0" xfId="0" applyAlignment="1" applyBorder="1" applyFill="1" applyFont="1">
      <alignment horizontal="center" shrinkToFit="0" wrapText="1"/>
    </xf>
    <xf borderId="22" fillId="10" fontId="14" numFmtId="0" xfId="0" applyAlignment="1" applyBorder="1" applyFont="1">
      <alignment horizontal="center"/>
    </xf>
    <xf borderId="22" fillId="10" fontId="15" numFmtId="0" xfId="0" applyAlignment="1" applyBorder="1" applyFont="1">
      <alignment horizontal="center"/>
    </xf>
    <xf borderId="23" fillId="0" fontId="3" numFmtId="0" xfId="0" applyBorder="1" applyFont="1"/>
    <xf borderId="24" fillId="0" fontId="3" numFmtId="0" xfId="0" applyBorder="1" applyFont="1"/>
    <xf borderId="21" fillId="12" fontId="16" numFmtId="0" xfId="0" applyAlignment="1" applyBorder="1" applyFill="1" applyFont="1">
      <alignment horizontal="center"/>
    </xf>
    <xf borderId="25" fillId="12" fontId="1" numFmtId="0" xfId="0" applyAlignment="1" applyBorder="1" applyFont="1">
      <alignment horizontal="center"/>
    </xf>
    <xf borderId="21" fillId="12" fontId="1" numFmtId="0" xfId="0" applyAlignment="1" applyBorder="1" applyFont="1">
      <alignment horizontal="center"/>
    </xf>
    <xf borderId="26" fillId="12" fontId="1" numFmtId="0" xfId="0" applyAlignment="1" applyBorder="1" applyFont="1">
      <alignment horizontal="center"/>
    </xf>
    <xf borderId="21" fillId="12" fontId="1" numFmtId="0" xfId="0" applyBorder="1" applyFont="1"/>
    <xf borderId="24" fillId="0" fontId="1" numFmtId="0" xfId="0" applyBorder="1" applyFont="1"/>
    <xf borderId="27" fillId="0" fontId="17" numFmtId="0" xfId="0" applyBorder="1" applyFont="1"/>
    <xf borderId="27" fillId="0" fontId="1" numFmtId="0" xfId="0" applyBorder="1" applyFont="1"/>
    <xf borderId="17" fillId="0" fontId="1" numFmtId="0" xfId="0" applyBorder="1" applyFont="1"/>
    <xf borderId="21" fillId="0" fontId="1" numFmtId="0" xfId="0" applyAlignment="1" applyBorder="1" applyFont="1">
      <alignment readingOrder="0"/>
    </xf>
    <xf borderId="21" fillId="0" fontId="1" numFmtId="0" xfId="0" applyBorder="1" applyFont="1"/>
    <xf borderId="24" fillId="0" fontId="17" numFmtId="0" xfId="0" applyBorder="1" applyFont="1"/>
    <xf borderId="21" fillId="0" fontId="17" numFmtId="0" xfId="0" applyBorder="1" applyFont="1"/>
    <xf borderId="21" fillId="0" fontId="18" numFmtId="0" xfId="0" applyAlignment="1" applyBorder="1" applyFont="1">
      <alignment horizontal="center" vertical="center"/>
    </xf>
    <xf borderId="21" fillId="0" fontId="1" numFmtId="0" xfId="0" applyAlignment="1" applyBorder="1" applyFont="1">
      <alignment horizontal="center" vertical="center"/>
    </xf>
    <xf borderId="28" fillId="0" fontId="19" numFmtId="0" xfId="0" applyBorder="1" applyFont="1"/>
    <xf borderId="29" fillId="0" fontId="3" numFmtId="0" xfId="0" applyBorder="1" applyFont="1"/>
    <xf borderId="29" fillId="0" fontId="1" numFmtId="0" xfId="0" applyBorder="1" applyFont="1"/>
    <xf borderId="30" fillId="0" fontId="1" numFmtId="0" xfId="0" applyBorder="1" applyFont="1"/>
    <xf borderId="31" fillId="0" fontId="3" numFmtId="0" xfId="0" applyBorder="1" applyFont="1"/>
    <xf borderId="32" fillId="0" fontId="3" numFmtId="0" xfId="0" applyBorder="1" applyFont="1"/>
    <xf borderId="32" fillId="0" fontId="1" numFmtId="0" xfId="0" applyBorder="1" applyFont="1"/>
    <xf borderId="33" fillId="13" fontId="20" numFmtId="0" xfId="0" applyBorder="1" applyFill="1" applyFont="1"/>
    <xf borderId="34" fillId="0" fontId="3" numFmtId="0" xfId="0" applyBorder="1" applyFont="1"/>
    <xf borderId="35" fillId="0" fontId="3" numFmtId="0" xfId="0" applyBorder="1" applyFont="1"/>
    <xf borderId="36" fillId="13" fontId="4" numFmtId="0" xfId="0" applyBorder="1" applyFont="1"/>
    <xf borderId="37" fillId="0" fontId="3" numFmtId="0" xfId="0" applyBorder="1" applyFont="1"/>
    <xf borderId="38" fillId="0" fontId="3" numFmtId="0" xfId="0" applyBorder="1" applyFont="1"/>
    <xf borderId="39" fillId="13" fontId="4" numFmtId="0" xfId="0" applyBorder="1" applyFont="1"/>
    <xf borderId="40" fillId="0" fontId="3" numFmtId="0" xfId="0" applyBorder="1" applyFont="1"/>
    <xf borderId="41" fillId="0" fontId="3" numFmtId="0" xfId="0" applyBorder="1" applyFont="1"/>
    <xf borderId="42" fillId="0" fontId="1" numFmtId="0" xfId="0" applyBorder="1" applyFont="1"/>
    <xf borderId="43" fillId="0" fontId="1" numFmtId="0" xfId="0" applyBorder="1" applyFont="1"/>
    <xf borderId="0" fillId="0" fontId="21" numFmtId="0" xfId="0" applyAlignment="1" applyFont="1">
      <alignment horizontal="right"/>
    </xf>
    <xf borderId="21" fillId="0" fontId="22" numFmtId="0" xfId="0" applyAlignment="1" applyBorder="1" applyFont="1">
      <alignment horizontal="center"/>
    </xf>
    <xf borderId="21" fillId="14" fontId="22" numFmtId="0" xfId="0" applyAlignment="1" applyBorder="1" applyFill="1" applyFont="1">
      <alignment horizontal="center"/>
    </xf>
    <xf borderId="21" fillId="15" fontId="14" numFmtId="0" xfId="0" applyAlignment="1" applyBorder="1" applyFill="1" applyFont="1">
      <alignment horizontal="center"/>
    </xf>
    <xf borderId="21" fillId="13" fontId="22" numFmtId="0" xfId="0" applyAlignment="1" applyBorder="1" applyFont="1">
      <alignment horizontal="center"/>
    </xf>
    <xf borderId="21" fillId="16" fontId="23" numFmtId="0" xfId="0" applyAlignment="1" applyBorder="1" applyFill="1" applyFont="1">
      <alignment horizontal="center"/>
    </xf>
    <xf borderId="21" fillId="16" fontId="14" numFmtId="0" xfId="0" applyAlignment="1" applyBorder="1" applyFont="1">
      <alignment horizontal="center"/>
    </xf>
    <xf borderId="21" fillId="16" fontId="23" numFmtId="0" xfId="0" applyBorder="1" applyFont="1"/>
    <xf borderId="21" fillId="16" fontId="1" numFmtId="0" xfId="0" applyBorder="1" applyFont="1"/>
    <xf borderId="21" fillId="13" fontId="24" numFmtId="0" xfId="0" applyAlignment="1" applyBorder="1" applyFont="1">
      <alignment horizontal="center"/>
    </xf>
    <xf borderId="21" fillId="0" fontId="14" numFmtId="0" xfId="0" applyAlignment="1" applyBorder="1" applyFont="1">
      <alignment horizontal="center"/>
    </xf>
    <xf borderId="21" fillId="14" fontId="1" numFmtId="0" xfId="0" applyBorder="1" applyFont="1"/>
    <xf borderId="21" fillId="13" fontId="1" numFmtId="0" xfId="0" applyBorder="1" applyFont="1"/>
    <xf borderId="21" fillId="14" fontId="1" numFmtId="0" xfId="0" applyAlignment="1" applyBorder="1" applyFont="1">
      <alignment readingOrder="0"/>
    </xf>
    <xf borderId="0" fillId="0" fontId="25" numFmtId="0" xfId="0" applyFont="1"/>
    <xf borderId="13" fillId="17" fontId="1" numFmtId="0" xfId="0" applyBorder="1" applyFill="1" applyFont="1"/>
    <xf borderId="44" fillId="18" fontId="26" numFmtId="0" xfId="0" applyAlignment="1" applyBorder="1" applyFill="1" applyFont="1">
      <alignment horizontal="center"/>
    </xf>
    <xf borderId="45" fillId="18" fontId="26" numFmtId="0" xfId="0" applyAlignment="1" applyBorder="1" applyFont="1">
      <alignment horizontal="center"/>
    </xf>
    <xf borderId="45" fillId="18" fontId="26" numFmtId="0" xfId="0" applyAlignment="1" applyBorder="1" applyFont="1">
      <alignment horizontal="center" shrinkToFit="0" wrapText="1"/>
    </xf>
    <xf borderId="46" fillId="3" fontId="26" numFmtId="0" xfId="0" applyAlignment="1" applyBorder="1" applyFont="1">
      <alignment horizontal="center"/>
    </xf>
    <xf borderId="47" fillId="19" fontId="26" numFmtId="0" xfId="0" applyAlignment="1" applyBorder="1" applyFill="1" applyFont="1">
      <alignment horizontal="center"/>
    </xf>
    <xf borderId="48" fillId="20" fontId="1" numFmtId="0" xfId="0" applyBorder="1" applyFill="1" applyFont="1"/>
    <xf borderId="49" fillId="20" fontId="1" numFmtId="0" xfId="0" applyAlignment="1" applyBorder="1" applyFont="1">
      <alignment shrinkToFit="0" wrapText="1"/>
    </xf>
    <xf borderId="50" fillId="0" fontId="27" numFmtId="0" xfId="0" applyAlignment="1" applyBorder="1" applyFont="1">
      <alignment horizontal="center" vertical="center"/>
    </xf>
    <xf borderId="51" fillId="0" fontId="3" numFmtId="0" xfId="0" applyBorder="1" applyFont="1"/>
    <xf borderId="52" fillId="0" fontId="17" numFmtId="0" xfId="0" applyAlignment="1" applyBorder="1" applyFont="1">
      <alignment horizontal="center" vertical="center"/>
    </xf>
    <xf borderId="53" fillId="0" fontId="3" numFmtId="0" xfId="0" applyBorder="1" applyFont="1"/>
    <xf borderId="54" fillId="20" fontId="1" numFmtId="0" xfId="0" applyBorder="1" applyFont="1"/>
    <xf borderId="55" fillId="20" fontId="1" numFmtId="0" xfId="0" applyAlignment="1" applyBorder="1" applyFont="1">
      <alignment shrinkToFit="0" wrapText="1"/>
    </xf>
    <xf borderId="56" fillId="0" fontId="17" numFmtId="0" xfId="0" applyAlignment="1" applyBorder="1" applyFont="1">
      <alignment horizontal="center" vertical="center"/>
    </xf>
    <xf borderId="57" fillId="19" fontId="26" numFmtId="0" xfId="0" applyAlignment="1" applyBorder="1" applyFont="1">
      <alignment horizontal="center"/>
    </xf>
    <xf borderId="58" fillId="20" fontId="1" numFmtId="0" xfId="0" applyBorder="1" applyFont="1"/>
    <xf borderId="59" fillId="20" fontId="1" numFmtId="0" xfId="0" applyAlignment="1" applyBorder="1" applyFont="1">
      <alignment shrinkToFit="0" wrapText="1"/>
    </xf>
    <xf borderId="50" fillId="0" fontId="17" numFmtId="0" xfId="0" applyAlignment="1" applyBorder="1" applyFont="1">
      <alignment horizontal="center" vertical="center"/>
    </xf>
    <xf borderId="15" fillId="11" fontId="28" numFmtId="0" xfId="0" applyAlignment="1" applyBorder="1" applyFont="1">
      <alignment horizontal="center"/>
    </xf>
    <xf borderId="15" fillId="21" fontId="29" numFmtId="0" xfId="0" applyAlignment="1" applyBorder="1" applyFill="1" applyFont="1">
      <alignment horizontal="center"/>
    </xf>
    <xf borderId="60" fillId="11" fontId="30" numFmtId="0" xfId="0" applyBorder="1" applyFont="1"/>
    <xf borderId="46" fillId="22" fontId="31" numFmtId="0" xfId="0" applyAlignment="1" applyBorder="1" applyFill="1" applyFont="1">
      <alignment horizontal="center"/>
    </xf>
    <xf borderId="60" fillId="21" fontId="32" numFmtId="0" xfId="0" applyBorder="1" applyFont="1"/>
    <xf borderId="61" fillId="0" fontId="17" numFmtId="0" xfId="0" applyAlignment="1" applyBorder="1" applyFont="1">
      <alignment horizontal="left" vertical="center"/>
    </xf>
    <xf borderId="58" fillId="0" fontId="17" numFmtId="0" xfId="0" applyAlignment="1" applyBorder="1" applyFont="1">
      <alignment horizontal="left" shrinkToFit="0" vertical="center" wrapText="1"/>
    </xf>
    <xf borderId="62" fillId="0" fontId="1" numFmtId="0" xfId="0" applyBorder="1" applyFont="1"/>
    <xf borderId="61" fillId="23" fontId="16" numFmtId="0" xfId="0" applyBorder="1" applyFill="1" applyFont="1"/>
    <xf borderId="62" fillId="0" fontId="16" numFmtId="0" xfId="0" applyBorder="1" applyFont="1"/>
    <xf borderId="63" fillId="0" fontId="17" numFmtId="0" xfId="0" applyAlignment="1" applyBorder="1" applyFont="1">
      <alignment horizontal="left" vertical="center"/>
    </xf>
    <xf borderId="48" fillId="0" fontId="17" numFmtId="0" xfId="0" applyAlignment="1" applyBorder="1" applyFont="1">
      <alignment horizontal="left" shrinkToFit="0" vertical="center" wrapText="1"/>
    </xf>
    <xf borderId="64" fillId="0" fontId="1" numFmtId="0" xfId="0" applyBorder="1" applyFont="1"/>
    <xf borderId="63" fillId="23" fontId="16" numFmtId="0" xfId="0" applyBorder="1" applyFont="1"/>
    <xf borderId="64" fillId="0" fontId="16" numFmtId="0" xfId="0" applyBorder="1" applyFont="1"/>
    <xf borderId="63" fillId="0" fontId="17" numFmtId="0" xfId="0" applyAlignment="1" applyBorder="1" applyFont="1">
      <alignment horizontal="left" shrinkToFit="0" vertical="center" wrapText="1"/>
    </xf>
    <xf borderId="63" fillId="23" fontId="33" numFmtId="0" xfId="0" applyBorder="1" applyFont="1"/>
    <xf borderId="63" fillId="0" fontId="1" numFmtId="0" xfId="0" applyBorder="1" applyFont="1"/>
    <xf borderId="48" fillId="0" fontId="17" numFmtId="0" xfId="0" applyBorder="1" applyFont="1"/>
    <xf borderId="65" fillId="0" fontId="17" numFmtId="0" xfId="0" applyAlignment="1" applyBorder="1" applyFont="1">
      <alignment horizontal="left" vertical="center"/>
    </xf>
    <xf borderId="54" fillId="0" fontId="17" numFmtId="0" xfId="0" applyBorder="1" applyFont="1"/>
    <xf borderId="66" fillId="0" fontId="1" numFmtId="0" xfId="0" applyBorder="1" applyFont="1"/>
    <xf borderId="65" fillId="0" fontId="1" numFmtId="0" xfId="0" applyBorder="1" applyFont="1"/>
    <xf borderId="0" fillId="0" fontId="34" numFmtId="0" xfId="0" applyFont="1"/>
    <xf borderId="0" fillId="0" fontId="35" numFmtId="0" xfId="0" applyFont="1"/>
    <xf borderId="13" fillId="24" fontId="1" numFmtId="0" xfId="0" applyBorder="1" applyFill="1" applyFont="1"/>
    <xf borderId="67" fillId="25" fontId="26" numFmtId="0" xfId="0" applyAlignment="1" applyBorder="1" applyFill="1" applyFont="1">
      <alignment horizontal="center"/>
    </xf>
    <xf borderId="68" fillId="0" fontId="3" numFmtId="0" xfId="0" applyBorder="1" applyFont="1"/>
    <xf borderId="69" fillId="25" fontId="26" numFmtId="0" xfId="0" applyAlignment="1" applyBorder="1" applyFont="1">
      <alignment horizontal="center"/>
    </xf>
    <xf borderId="70" fillId="0" fontId="3" numFmtId="0" xfId="0" applyBorder="1" applyFont="1"/>
    <xf borderId="71" fillId="0" fontId="3" numFmtId="0" xfId="0" applyBorder="1" applyFont="1"/>
    <xf borderId="72" fillId="4" fontId="1" numFmtId="0" xfId="0" applyBorder="1" applyFont="1"/>
    <xf borderId="73" fillId="0" fontId="3" numFmtId="0" xfId="0" applyBorder="1" applyFont="1"/>
    <xf borderId="74" fillId="4" fontId="1" numFmtId="0" xfId="0" applyBorder="1" applyFont="1"/>
    <xf borderId="75" fillId="0" fontId="3" numFmtId="0" xfId="0" applyBorder="1" applyFont="1"/>
    <xf borderId="74" fillId="4" fontId="36" numFmtId="0" xfId="0" applyBorder="1" applyFont="1"/>
    <xf borderId="76" fillId="0" fontId="3" numFmtId="0" xfId="0" applyBorder="1" applyFont="1"/>
    <xf borderId="77" fillId="4" fontId="1" numFmtId="0" xfId="0" applyBorder="1" applyFont="1"/>
    <xf borderId="78" fillId="0" fontId="3" numFmtId="0" xfId="0" applyBorder="1" applyFont="1"/>
    <xf borderId="79" fillId="4" fontId="1" numFmtId="0" xfId="0" applyBorder="1" applyFont="1"/>
    <xf borderId="80" fillId="0" fontId="3" numFmtId="0" xfId="0" applyBorder="1" applyFont="1"/>
    <xf borderId="81" fillId="0" fontId="3" numFmtId="0" xfId="0" applyBorder="1" applyFont="1"/>
    <xf borderId="21" fillId="0" fontId="1" numFmtId="0" xfId="0" applyAlignment="1" applyBorder="1" applyFont="1">
      <alignment horizontal="center"/>
    </xf>
    <xf borderId="21" fillId="9" fontId="1" numFmtId="0" xfId="0" applyAlignment="1" applyBorder="1" applyFont="1">
      <alignment horizontal="center"/>
    </xf>
    <xf borderId="21" fillId="26" fontId="1" numFmtId="0" xfId="0" applyBorder="1" applyFill="1" applyFont="1"/>
    <xf borderId="21" fillId="0" fontId="37" numFmtId="0" xfId="0" applyAlignment="1" applyBorder="1" applyFont="1">
      <alignment horizontal="center"/>
    </xf>
    <xf borderId="21" fillId="21" fontId="37" numFmtId="0" xfId="0" applyAlignment="1" applyBorder="1" applyFont="1">
      <alignment horizontal="center"/>
    </xf>
    <xf borderId="21" fillId="0" fontId="37" numFmtId="164" xfId="0" applyAlignment="1" applyBorder="1" applyFont="1" applyNumberFormat="1">
      <alignment horizontal="center"/>
    </xf>
    <xf borderId="21" fillId="0" fontId="37" numFmtId="0" xfId="0" applyBorder="1" applyFont="1"/>
    <xf borderId="21" fillId="0" fontId="38" numFmtId="0" xfId="0" applyBorder="1" applyFont="1"/>
    <xf borderId="21" fillId="21" fontId="37" numFmtId="0" xfId="0" applyBorder="1" applyFont="1"/>
    <xf borderId="21" fillId="0" fontId="4" numFmtId="0" xfId="0" applyBorder="1" applyFont="1"/>
    <xf borderId="21" fillId="0" fontId="4" numFmtId="0" xfId="0" applyAlignment="1" applyBorder="1" applyFont="1">
      <alignment vertical="center"/>
    </xf>
    <xf borderId="0" fillId="0" fontId="39" numFmtId="0" xfId="0" applyFont="1"/>
    <xf borderId="0" fillId="0" fontId="40" numFmtId="0" xfId="0" applyFont="1"/>
    <xf borderId="21" fillId="0" fontId="1" numFmtId="10" xfId="0" applyBorder="1" applyFont="1" applyNumberFormat="1"/>
    <xf borderId="21" fillId="0" fontId="1" numFmtId="0" xfId="0" applyAlignment="1" applyBorder="1" applyFont="1">
      <alignment shrinkToFit="0" wrapText="1"/>
    </xf>
    <xf borderId="21" fillId="0" fontId="14" numFmtId="0" xfId="0" applyAlignment="1" applyBorder="1" applyFont="1">
      <alignment shrinkToFit="0" wrapText="1"/>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0</xdr:row>
      <xdr:rowOff>180975</xdr:rowOff>
    </xdr:from>
    <xdr:ext cx="1704975" cy="1181100"/>
    <xdr:sp>
      <xdr:nvSpPr>
        <xdr:cNvPr id="3" name="Shape 3"/>
        <xdr:cNvSpPr/>
      </xdr:nvSpPr>
      <xdr:spPr>
        <a:xfrm>
          <a:off x="4498275" y="3194213"/>
          <a:ext cx="1695450" cy="1171575"/>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3200"/>
            <a:buFont typeface="Arial"/>
            <a:buNone/>
          </a:pPr>
          <a:r>
            <a:rPr b="1" lang="en-US" sz="3200"/>
            <a:t>更新</a:t>
          </a:r>
          <a:endParaRPr b="1" sz="32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e/1FAIpQLSez2CJrWTGCVOxZTQ3d9i2zAr3GbiDlvXNgYU4i0M-AdcLKFg/viewform" TargetMode="External"/><Relationship Id="rId2" Type="http://schemas.openxmlformats.org/officeDocument/2006/relationships/hyperlink" Target="https://teachme.jp/7884/f/room0RfvU2rl/sf/177237?page=1&amp;sortKey=title&amp;sortOrder=asc&amp;keywordKind=full_text" TargetMode="External"/><Relationship Id="rId3" Type="http://schemas.openxmlformats.org/officeDocument/2006/relationships/hyperlink" Target="https://drive.google.com/file/d/1238F3fsOqXwnBED9KvFIf3aKheNcq0Q6/view?usp=sharing" TargetMode="External"/><Relationship Id="rId4" Type="http://schemas.openxmlformats.org/officeDocument/2006/relationships/hyperlink" Target="https://drive.google.com/drive/folders/1V4E9qxzSX1Yj27tcbwA2KEfvVLBMAQJw?usp=sharing" TargetMode="External"/><Relationship Id="rId5" Type="http://schemas.openxmlformats.org/officeDocument/2006/relationships/hyperlink" Target="https://drive.google.com/file/d/1Y3smOi9pbgsN-Mv_Hey_YPOsTR8nasu8/view?usp=sharing" TargetMode="External"/><Relationship Id="rId6" Type="http://schemas.openxmlformats.org/officeDocument/2006/relationships/hyperlink" Target="https://drive.google.com/file/d/1X1MuU2HRFGOIPcvoX1OZOPenwU7hIm7B/view?usp=sharing" TargetMode="External"/><Relationship Id="rId7" Type="http://schemas.openxmlformats.org/officeDocument/2006/relationships/hyperlink" Target="https://drive.google.com/file/d/11LJvaVlS_ZbbN5Do4G7MqUbqu8vZoa5f/view?usp=sharin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Y3smOi9pbgsN-Mv_Hey_YPOsTR8nasu8"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yB8EoyXPqqx3RB0T7HMn-MLOhyLX9FgyVr4swT_O7Go/edit?gid=0"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yB8EoyXPqqx3RB0T7HMn-MLOhyLX9FgyVr4swT_O7Go/edit?gid=1749992939"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sheetViews>
  <sheetFormatPr customHeight="1" defaultColWidth="12.63" defaultRowHeight="15.0"/>
  <cols>
    <col customWidth="1" min="1" max="1" width="4.63"/>
    <col customWidth="1" min="2" max="2" width="25.75"/>
    <col customWidth="1" min="3" max="3" width="23.25"/>
    <col customWidth="1" min="4" max="4" width="1.5"/>
    <col customWidth="1" min="5" max="5" width="18.75"/>
    <col customWidth="1" min="6" max="6" width="35.63"/>
    <col customWidth="1" min="7" max="26" width="11.0"/>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t="s">
        <v>0</v>
      </c>
      <c r="C2" s="3"/>
      <c r="D2" s="3"/>
      <c r="E2" s="4"/>
      <c r="F2" s="5" t="s">
        <v>1</v>
      </c>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6" t="s">
        <v>2</v>
      </c>
      <c r="C4" s="1"/>
      <c r="D4" s="1"/>
      <c r="E4" s="1"/>
      <c r="F4" s="1"/>
      <c r="G4" s="1"/>
      <c r="H4" s="1"/>
      <c r="I4" s="1"/>
      <c r="J4" s="1"/>
      <c r="K4" s="1"/>
      <c r="L4" s="1"/>
      <c r="M4" s="1"/>
      <c r="N4" s="1"/>
      <c r="O4" s="1"/>
      <c r="P4" s="1"/>
      <c r="Q4" s="1"/>
      <c r="R4" s="1"/>
      <c r="S4" s="1"/>
      <c r="T4" s="1"/>
      <c r="U4" s="1"/>
      <c r="V4" s="1"/>
      <c r="W4" s="1"/>
      <c r="X4" s="1"/>
      <c r="Y4" s="1"/>
      <c r="Z4" s="1"/>
    </row>
    <row r="5" ht="15.75" customHeight="1">
      <c r="A5" s="1"/>
      <c r="B5" s="1" t="s">
        <v>3</v>
      </c>
      <c r="C5" s="1"/>
      <c r="D5" s="1"/>
      <c r="E5" s="1"/>
      <c r="F5" s="1"/>
      <c r="G5" s="1"/>
      <c r="H5" s="1"/>
      <c r="I5" s="1"/>
      <c r="J5" s="1"/>
      <c r="K5" s="1"/>
      <c r="L5" s="1"/>
      <c r="M5" s="1"/>
      <c r="N5" s="1"/>
      <c r="O5" s="1"/>
      <c r="P5" s="1"/>
      <c r="Q5" s="1"/>
      <c r="R5" s="1"/>
      <c r="S5" s="1"/>
      <c r="T5" s="1"/>
      <c r="U5" s="1"/>
      <c r="V5" s="1"/>
      <c r="W5" s="1"/>
      <c r="X5" s="1"/>
      <c r="Y5" s="1"/>
      <c r="Z5" s="1"/>
    </row>
    <row r="6" ht="15.75" customHeight="1">
      <c r="A6" s="1"/>
      <c r="B6" s="1" t="s">
        <v>4</v>
      </c>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7" t="s">
        <v>5</v>
      </c>
      <c r="C8" s="8"/>
      <c r="D8" s="9"/>
      <c r="E8" s="10" t="s">
        <v>6</v>
      </c>
      <c r="F8" s="9"/>
      <c r="G8" s="1" t="s">
        <v>7</v>
      </c>
      <c r="H8" s="1"/>
      <c r="I8" s="1"/>
      <c r="J8" s="1"/>
      <c r="K8" s="1"/>
      <c r="L8" s="1"/>
      <c r="M8" s="1"/>
      <c r="N8" s="1"/>
      <c r="O8" s="1"/>
      <c r="P8" s="1"/>
      <c r="Q8" s="1"/>
      <c r="R8" s="1"/>
      <c r="S8" s="1"/>
      <c r="T8" s="1"/>
      <c r="U8" s="1"/>
      <c r="V8" s="1"/>
      <c r="W8" s="1"/>
      <c r="X8" s="1"/>
      <c r="Y8" s="1"/>
      <c r="Z8" s="1"/>
    </row>
    <row r="9" ht="15.75" customHeight="1">
      <c r="A9" s="1"/>
      <c r="B9" s="11" t="s">
        <v>8</v>
      </c>
      <c r="C9" s="12"/>
      <c r="D9" s="13"/>
      <c r="E9" s="14" t="s">
        <v>9</v>
      </c>
      <c r="F9" s="15" t="s">
        <v>10</v>
      </c>
      <c r="G9" s="16" t="b">
        <v>0</v>
      </c>
      <c r="H9" s="1"/>
      <c r="I9" s="1"/>
      <c r="J9" s="1"/>
      <c r="K9" s="1"/>
      <c r="L9" s="1"/>
      <c r="M9" s="1"/>
      <c r="N9" s="1"/>
      <c r="O9" s="1"/>
      <c r="P9" s="1"/>
      <c r="Q9" s="1"/>
      <c r="R9" s="1"/>
      <c r="S9" s="1"/>
      <c r="T9" s="1"/>
      <c r="U9" s="1"/>
      <c r="V9" s="1"/>
      <c r="W9" s="1"/>
      <c r="X9" s="1"/>
      <c r="Y9" s="1"/>
      <c r="Z9" s="1"/>
    </row>
    <row r="10" ht="15.75" customHeight="1">
      <c r="A10" s="1"/>
      <c r="B10" s="11" t="s">
        <v>11</v>
      </c>
      <c r="C10" s="12"/>
      <c r="D10" s="13"/>
      <c r="E10" s="14" t="s">
        <v>9</v>
      </c>
      <c r="F10" s="17" t="s">
        <v>12</v>
      </c>
      <c r="G10" s="16" t="b">
        <v>0</v>
      </c>
      <c r="H10" s="1"/>
      <c r="I10" s="1"/>
      <c r="J10" s="1"/>
      <c r="K10" s="1"/>
      <c r="L10" s="1"/>
      <c r="M10" s="1"/>
      <c r="N10" s="1"/>
      <c r="O10" s="1"/>
      <c r="P10" s="1"/>
      <c r="Q10" s="1"/>
      <c r="R10" s="1"/>
      <c r="S10" s="1"/>
      <c r="T10" s="1"/>
      <c r="U10" s="1"/>
      <c r="V10" s="1"/>
      <c r="W10" s="1"/>
      <c r="X10" s="1"/>
      <c r="Y10" s="1"/>
      <c r="Z10" s="1"/>
    </row>
    <row r="11" ht="15.75" customHeight="1">
      <c r="A11" s="1"/>
      <c r="B11" s="11" t="s">
        <v>13</v>
      </c>
      <c r="C11" s="12"/>
      <c r="D11" s="13"/>
      <c r="E11" s="14" t="s">
        <v>9</v>
      </c>
      <c r="F11" s="15" t="s">
        <v>14</v>
      </c>
      <c r="G11" s="16" t="b">
        <v>0</v>
      </c>
      <c r="H11" s="1"/>
      <c r="I11" s="1"/>
      <c r="J11" s="1"/>
      <c r="K11" s="1"/>
      <c r="L11" s="1"/>
      <c r="M11" s="1"/>
      <c r="N11" s="1"/>
      <c r="O11" s="1"/>
      <c r="P11" s="1"/>
      <c r="Q11" s="1"/>
      <c r="R11" s="1"/>
      <c r="S11" s="1"/>
      <c r="T11" s="1"/>
      <c r="U11" s="1"/>
      <c r="V11" s="1"/>
      <c r="W11" s="1"/>
      <c r="X11" s="1"/>
      <c r="Y11" s="1"/>
      <c r="Z11" s="1"/>
    </row>
    <row r="12" ht="15.75" customHeight="1">
      <c r="A12" s="1"/>
      <c r="B12" s="11" t="s">
        <v>15</v>
      </c>
      <c r="C12" s="12"/>
      <c r="D12" s="13"/>
      <c r="E12" s="14" t="s">
        <v>16</v>
      </c>
      <c r="F12" s="15" t="s">
        <v>17</v>
      </c>
      <c r="G12" s="16" t="b">
        <v>0</v>
      </c>
      <c r="H12" s="1"/>
      <c r="I12" s="1"/>
      <c r="J12" s="1"/>
      <c r="K12" s="1"/>
      <c r="L12" s="1"/>
      <c r="M12" s="1"/>
      <c r="N12" s="1"/>
      <c r="O12" s="1"/>
      <c r="P12" s="1"/>
      <c r="Q12" s="1"/>
      <c r="R12" s="1"/>
      <c r="S12" s="1"/>
      <c r="T12" s="1"/>
      <c r="U12" s="1"/>
      <c r="V12" s="1"/>
      <c r="W12" s="1"/>
      <c r="X12" s="1"/>
      <c r="Y12" s="1"/>
      <c r="Z12" s="1"/>
    </row>
    <row r="13" ht="15.75" customHeight="1">
      <c r="A13" s="1"/>
      <c r="B13" s="11" t="s">
        <v>18</v>
      </c>
      <c r="C13" s="12"/>
      <c r="D13" s="13"/>
      <c r="E13" s="14" t="s">
        <v>19</v>
      </c>
      <c r="F13" s="15" t="s">
        <v>20</v>
      </c>
      <c r="G13" s="1"/>
      <c r="H13" s="1"/>
      <c r="I13" s="1"/>
      <c r="J13" s="1"/>
      <c r="K13" s="1"/>
      <c r="L13" s="1"/>
      <c r="M13" s="1"/>
      <c r="N13" s="1"/>
      <c r="O13" s="1"/>
      <c r="P13" s="1"/>
      <c r="Q13" s="1"/>
      <c r="R13" s="1"/>
      <c r="S13" s="1"/>
      <c r="T13" s="1"/>
      <c r="U13" s="1"/>
      <c r="V13" s="1"/>
      <c r="W13" s="1"/>
      <c r="X13" s="1"/>
      <c r="Y13" s="1"/>
      <c r="Z13" s="1"/>
    </row>
    <row r="14" ht="15.75" customHeight="1">
      <c r="A14" s="1"/>
      <c r="B14" s="18"/>
      <c r="C14" s="18"/>
      <c r="D14" s="18"/>
      <c r="E14" s="18"/>
      <c r="F14" s="18"/>
      <c r="G14" s="1"/>
      <c r="H14" s="1"/>
      <c r="I14" s="1"/>
      <c r="J14" s="1"/>
      <c r="K14" s="1"/>
      <c r="L14" s="1"/>
      <c r="M14" s="1"/>
      <c r="N14" s="1"/>
      <c r="O14" s="1"/>
      <c r="P14" s="1"/>
      <c r="Q14" s="1"/>
      <c r="R14" s="1"/>
      <c r="S14" s="1"/>
      <c r="T14" s="1"/>
      <c r="U14" s="1"/>
      <c r="V14" s="1"/>
      <c r="W14" s="1"/>
      <c r="X14" s="1"/>
      <c r="Y14" s="1"/>
      <c r="Z14" s="1"/>
    </row>
    <row r="15" ht="15.75" customHeight="1">
      <c r="A15" s="1"/>
      <c r="B15" s="7" t="s">
        <v>21</v>
      </c>
      <c r="C15" s="8"/>
      <c r="D15" s="19"/>
      <c r="E15" s="10" t="s">
        <v>6</v>
      </c>
      <c r="F15" s="19"/>
      <c r="G15" s="1"/>
      <c r="H15" s="1"/>
      <c r="I15" s="1"/>
      <c r="J15" s="1"/>
      <c r="K15" s="1"/>
      <c r="L15" s="1"/>
      <c r="M15" s="1"/>
      <c r="N15" s="1"/>
      <c r="O15" s="1"/>
      <c r="P15" s="1"/>
      <c r="Q15" s="1"/>
      <c r="R15" s="1"/>
      <c r="S15" s="1"/>
      <c r="T15" s="1"/>
      <c r="U15" s="1"/>
      <c r="V15" s="1"/>
      <c r="W15" s="1"/>
      <c r="X15" s="1"/>
      <c r="Y15" s="1"/>
      <c r="Z15" s="1"/>
    </row>
    <row r="16" ht="15.75" customHeight="1">
      <c r="A16" s="1"/>
      <c r="B16" s="11" t="s">
        <v>22</v>
      </c>
      <c r="C16" s="12"/>
      <c r="D16" s="13"/>
      <c r="E16" s="14" t="s">
        <v>9</v>
      </c>
      <c r="F16" s="20" t="s">
        <v>23</v>
      </c>
      <c r="G16" s="16" t="b">
        <v>0</v>
      </c>
      <c r="H16" s="1"/>
      <c r="I16" s="1"/>
      <c r="J16" s="1"/>
      <c r="K16" s="1"/>
      <c r="L16" s="1"/>
      <c r="M16" s="1"/>
      <c r="N16" s="1"/>
      <c r="O16" s="1"/>
      <c r="P16" s="1"/>
      <c r="Q16" s="1"/>
      <c r="R16" s="1"/>
      <c r="S16" s="1"/>
      <c r="T16" s="1"/>
      <c r="U16" s="1"/>
      <c r="V16" s="1"/>
      <c r="W16" s="1"/>
      <c r="X16" s="1"/>
      <c r="Y16" s="1"/>
      <c r="Z16" s="1"/>
    </row>
    <row r="17" ht="15.75" customHeight="1">
      <c r="A17" s="1"/>
      <c r="B17" s="21"/>
      <c r="C17" s="21"/>
      <c r="D17" s="21"/>
      <c r="E17" s="21"/>
      <c r="F17" s="21"/>
      <c r="G17" s="1"/>
      <c r="H17" s="1"/>
      <c r="I17" s="1"/>
      <c r="J17" s="1"/>
      <c r="K17" s="1"/>
      <c r="L17" s="1"/>
      <c r="M17" s="1"/>
      <c r="N17" s="1"/>
      <c r="O17" s="1"/>
      <c r="P17" s="1"/>
      <c r="Q17" s="1"/>
      <c r="R17" s="1"/>
      <c r="S17" s="1"/>
      <c r="T17" s="1"/>
      <c r="U17" s="1"/>
      <c r="V17" s="1"/>
      <c r="W17" s="1"/>
      <c r="X17" s="1"/>
      <c r="Y17" s="1"/>
      <c r="Z17" s="1"/>
    </row>
    <row r="18" ht="15.75" customHeight="1">
      <c r="A18" s="1"/>
      <c r="B18" s="7" t="s">
        <v>24</v>
      </c>
      <c r="C18" s="9"/>
      <c r="D18" s="9"/>
      <c r="E18" s="9"/>
      <c r="F18" s="9"/>
      <c r="G18" s="1"/>
      <c r="H18" s="1"/>
      <c r="I18" s="1"/>
      <c r="J18" s="1"/>
      <c r="K18" s="1"/>
      <c r="L18" s="1"/>
      <c r="M18" s="1"/>
      <c r="N18" s="1"/>
      <c r="O18" s="1"/>
      <c r="P18" s="1"/>
      <c r="Q18" s="1"/>
      <c r="R18" s="1"/>
      <c r="S18" s="1"/>
      <c r="T18" s="1"/>
      <c r="U18" s="1"/>
      <c r="V18" s="1"/>
      <c r="W18" s="1"/>
      <c r="X18" s="1"/>
      <c r="Y18" s="1"/>
      <c r="Z18" s="1"/>
    </row>
    <row r="19" ht="15.75" customHeight="1">
      <c r="A19" s="1"/>
      <c r="B19" s="11" t="s">
        <v>25</v>
      </c>
      <c r="C19" s="12"/>
      <c r="D19" s="13"/>
      <c r="E19" s="14" t="s">
        <v>19</v>
      </c>
      <c r="F19" s="22" t="s">
        <v>26</v>
      </c>
      <c r="G19" s="1"/>
      <c r="H19" s="1"/>
      <c r="I19" s="1"/>
      <c r="J19" s="1"/>
      <c r="K19" s="1"/>
      <c r="L19" s="1"/>
      <c r="M19" s="1"/>
      <c r="N19" s="1"/>
      <c r="O19" s="1"/>
      <c r="P19" s="1"/>
      <c r="Q19" s="1"/>
      <c r="R19" s="1"/>
      <c r="S19" s="1"/>
      <c r="T19" s="1"/>
      <c r="U19" s="1"/>
      <c r="V19" s="1"/>
      <c r="W19" s="1"/>
      <c r="X19" s="1"/>
      <c r="Y19" s="1"/>
      <c r="Z19" s="1"/>
    </row>
    <row r="20" ht="15.75" customHeight="1">
      <c r="A20" s="1"/>
      <c r="B20" s="11" t="s">
        <v>27</v>
      </c>
      <c r="C20" s="12"/>
      <c r="D20" s="13"/>
      <c r="E20" s="14" t="s">
        <v>19</v>
      </c>
      <c r="F20" s="22" t="s">
        <v>28</v>
      </c>
      <c r="G20" s="1"/>
      <c r="H20" s="1"/>
      <c r="I20" s="1"/>
      <c r="J20" s="1"/>
      <c r="K20" s="1"/>
      <c r="L20" s="1"/>
      <c r="M20" s="1"/>
      <c r="N20" s="1"/>
      <c r="O20" s="1"/>
      <c r="P20" s="1"/>
      <c r="Q20" s="1"/>
      <c r="R20" s="1"/>
      <c r="S20" s="1"/>
      <c r="T20" s="1"/>
      <c r="U20" s="1"/>
      <c r="V20" s="1"/>
      <c r="W20" s="1"/>
      <c r="X20" s="1"/>
      <c r="Y20" s="1"/>
      <c r="Z20" s="1"/>
    </row>
    <row r="21" ht="15.75" customHeight="1">
      <c r="A21" s="1"/>
      <c r="B21" s="11" t="s">
        <v>29</v>
      </c>
      <c r="C21" s="12"/>
      <c r="D21" s="13"/>
      <c r="E21" s="14" t="s">
        <v>19</v>
      </c>
      <c r="F21" s="22" t="s">
        <v>30</v>
      </c>
      <c r="G21" s="1"/>
      <c r="H21" s="1"/>
      <c r="I21" s="1"/>
      <c r="J21" s="1"/>
      <c r="K21" s="1"/>
      <c r="L21" s="1"/>
      <c r="M21" s="1"/>
      <c r="N21" s="1"/>
      <c r="O21" s="1"/>
      <c r="P21" s="1"/>
      <c r="Q21" s="1"/>
      <c r="R21" s="1"/>
      <c r="S21" s="1"/>
      <c r="T21" s="1"/>
      <c r="U21" s="1"/>
      <c r="V21" s="1"/>
      <c r="W21" s="1"/>
      <c r="X21" s="1"/>
      <c r="Y21" s="1"/>
      <c r="Z21" s="1"/>
    </row>
    <row r="22" ht="15.75" customHeight="1">
      <c r="A22" s="1"/>
      <c r="B22" s="11" t="s">
        <v>31</v>
      </c>
      <c r="C22" s="12"/>
      <c r="D22" s="13"/>
      <c r="E22" s="14" t="s">
        <v>19</v>
      </c>
      <c r="F22" s="22" t="s">
        <v>32</v>
      </c>
      <c r="G22" s="1"/>
      <c r="H22" s="1"/>
      <c r="I22" s="1"/>
      <c r="J22" s="1"/>
      <c r="K22" s="1"/>
      <c r="L22" s="1"/>
      <c r="M22" s="1"/>
      <c r="N22" s="1"/>
      <c r="O22" s="1"/>
      <c r="P22" s="1"/>
      <c r="Q22" s="1"/>
      <c r="R22" s="1"/>
      <c r="S22" s="1"/>
      <c r="T22" s="1"/>
      <c r="U22" s="1"/>
      <c r="V22" s="1"/>
      <c r="W22" s="1"/>
      <c r="X22" s="1"/>
      <c r="Y22" s="1"/>
      <c r="Z22" s="1"/>
    </row>
    <row r="23" ht="15.75" customHeight="1">
      <c r="A23" s="1"/>
      <c r="B23" s="23" t="s">
        <v>33</v>
      </c>
      <c r="C23" s="24"/>
      <c r="D23" s="25"/>
      <c r="E23" s="14" t="s">
        <v>19</v>
      </c>
      <c r="F23" s="26" t="s">
        <v>34</v>
      </c>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7" t="s">
        <v>35</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1" t="s">
        <v>36</v>
      </c>
      <c r="C26" s="12"/>
      <c r="D26" s="13"/>
      <c r="E26" s="14" t="s">
        <v>19</v>
      </c>
      <c r="F26" s="22" t="s">
        <v>37</v>
      </c>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5:C15"/>
    <mergeCell ref="B16:C16"/>
    <mergeCell ref="B19:C19"/>
    <mergeCell ref="B20:C20"/>
    <mergeCell ref="B21:C21"/>
    <mergeCell ref="B22:C22"/>
    <mergeCell ref="B23:C23"/>
    <mergeCell ref="B26:C26"/>
    <mergeCell ref="B2:E2"/>
    <mergeCell ref="B8:C8"/>
    <mergeCell ref="B9:C9"/>
    <mergeCell ref="B10:C10"/>
    <mergeCell ref="B11:C11"/>
    <mergeCell ref="B12:C12"/>
    <mergeCell ref="B13:C13"/>
  </mergeCells>
  <hyperlinks>
    <hyperlink r:id="rId1" ref="F16"/>
    <hyperlink r:id="rId2" ref="F19"/>
    <hyperlink r:id="rId3" ref="F20"/>
    <hyperlink r:id="rId4" ref="F21"/>
    <hyperlink r:id="rId5" ref="F22"/>
    <hyperlink r:id="rId6" ref="F23"/>
    <hyperlink r:id="rId7" ref="F26"/>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4" width="11.0"/>
    <col customWidth="1" min="5" max="5" width="26.88"/>
    <col customWidth="1" min="6" max="6" width="27.5"/>
    <col customWidth="1" min="7" max="27" width="25.25"/>
  </cols>
  <sheetData>
    <row r="1" ht="15.75" customHeight="1">
      <c r="A1" s="27" t="s">
        <v>38</v>
      </c>
      <c r="B1" s="28"/>
      <c r="C1" s="28"/>
      <c r="D1" s="28"/>
      <c r="E1" s="28"/>
      <c r="F1" s="28"/>
      <c r="G1" s="28"/>
      <c r="H1" s="28"/>
      <c r="I1" s="28"/>
      <c r="J1" s="29"/>
      <c r="K1" s="1"/>
      <c r="L1" s="1"/>
      <c r="M1" s="1"/>
      <c r="N1" s="1"/>
      <c r="O1" s="1"/>
      <c r="P1" s="1"/>
      <c r="Q1" s="1"/>
      <c r="R1" s="1"/>
      <c r="S1" s="1"/>
      <c r="T1" s="1"/>
      <c r="U1" s="1"/>
      <c r="V1" s="1"/>
      <c r="W1" s="1"/>
      <c r="X1" s="1"/>
      <c r="Y1" s="1"/>
      <c r="Z1" s="1"/>
      <c r="AA1" s="1"/>
    </row>
    <row r="2" ht="15.75" customHeight="1">
      <c r="A2" s="30" t="s">
        <v>39</v>
      </c>
      <c r="B2" s="28"/>
      <c r="C2" s="28"/>
      <c r="D2" s="28"/>
      <c r="E2" s="28"/>
      <c r="F2" s="28"/>
      <c r="G2" s="28"/>
      <c r="H2" s="28"/>
      <c r="I2" s="28"/>
      <c r="J2" s="29"/>
      <c r="K2" s="1"/>
      <c r="L2" s="1"/>
      <c r="M2" s="1"/>
      <c r="N2" s="1"/>
      <c r="O2" s="1"/>
      <c r="P2" s="1"/>
      <c r="Q2" s="1"/>
      <c r="R2" s="1"/>
      <c r="S2" s="1"/>
      <c r="T2" s="1"/>
      <c r="U2" s="1"/>
      <c r="V2" s="1"/>
      <c r="W2" s="1"/>
      <c r="X2" s="1"/>
      <c r="Y2" s="1"/>
      <c r="Z2" s="1"/>
      <c r="AA2" s="1"/>
    </row>
    <row r="3" ht="8.25" customHeight="1">
      <c r="A3" s="31"/>
      <c r="B3" s="28"/>
      <c r="C3" s="28"/>
      <c r="D3" s="28"/>
      <c r="E3" s="28"/>
      <c r="F3" s="28"/>
      <c r="G3" s="28"/>
      <c r="H3" s="28"/>
      <c r="I3" s="28"/>
      <c r="J3" s="29"/>
      <c r="K3" s="1"/>
      <c r="L3" s="1"/>
      <c r="M3" s="1"/>
      <c r="N3" s="1"/>
      <c r="O3" s="1"/>
      <c r="P3" s="1"/>
      <c r="Q3" s="1"/>
      <c r="R3" s="1"/>
      <c r="S3" s="1"/>
      <c r="T3" s="1"/>
      <c r="U3" s="1"/>
      <c r="V3" s="1"/>
      <c r="W3" s="1"/>
      <c r="X3" s="1"/>
      <c r="Y3" s="1"/>
      <c r="Z3" s="1"/>
      <c r="AA3" s="1"/>
    </row>
    <row r="4" ht="15.75" customHeight="1">
      <c r="A4" s="32" t="s">
        <v>40</v>
      </c>
      <c r="B4" s="28"/>
      <c r="C4" s="28"/>
      <c r="D4" s="28"/>
      <c r="E4" s="28"/>
      <c r="F4" s="28"/>
      <c r="G4" s="29"/>
      <c r="H4" s="33" t="s">
        <v>41</v>
      </c>
      <c r="I4" s="28"/>
      <c r="J4" s="29"/>
      <c r="K4" s="1"/>
      <c r="L4" s="1"/>
      <c r="M4" s="1"/>
      <c r="N4" s="1"/>
      <c r="O4" s="1"/>
      <c r="P4" s="1"/>
      <c r="Q4" s="1"/>
      <c r="R4" s="1"/>
      <c r="S4" s="1"/>
      <c r="T4" s="1"/>
      <c r="U4" s="1"/>
      <c r="V4" s="1"/>
      <c r="W4" s="1"/>
      <c r="X4" s="1"/>
      <c r="Y4" s="1"/>
      <c r="Z4" s="1"/>
      <c r="AA4" s="1"/>
    </row>
    <row r="5" ht="15.75" customHeight="1">
      <c r="A5" s="34" t="s">
        <v>42</v>
      </c>
      <c r="B5" s="35" t="s">
        <v>43</v>
      </c>
      <c r="C5" s="35" t="s">
        <v>44</v>
      </c>
      <c r="D5" s="35" t="s">
        <v>45</v>
      </c>
      <c r="E5" s="35" t="s">
        <v>46</v>
      </c>
      <c r="F5" s="36" t="s">
        <v>47</v>
      </c>
      <c r="G5" s="37" t="s">
        <v>48</v>
      </c>
      <c r="H5" s="38" t="s">
        <v>49</v>
      </c>
      <c r="I5" s="38" t="s">
        <v>50</v>
      </c>
      <c r="J5" s="38" t="s">
        <v>51</v>
      </c>
      <c r="K5" s="1"/>
      <c r="L5" s="1"/>
      <c r="M5" s="1"/>
      <c r="N5" s="1"/>
      <c r="O5" s="1"/>
      <c r="P5" s="1"/>
      <c r="Q5" s="1"/>
      <c r="R5" s="1"/>
      <c r="S5" s="1"/>
      <c r="T5" s="1"/>
      <c r="U5" s="1"/>
      <c r="V5" s="1"/>
      <c r="W5" s="1"/>
      <c r="X5" s="1"/>
      <c r="Y5" s="1"/>
      <c r="Z5" s="1"/>
      <c r="AA5" s="1"/>
    </row>
    <row r="6" ht="15.75" customHeight="1">
      <c r="A6" s="39" t="s">
        <v>52</v>
      </c>
      <c r="B6" s="39" t="s">
        <v>52</v>
      </c>
      <c r="C6" s="39" t="s">
        <v>52</v>
      </c>
      <c r="D6" s="39" t="s">
        <v>52</v>
      </c>
      <c r="E6" s="39" t="s">
        <v>53</v>
      </c>
      <c r="F6" s="39" t="s">
        <v>54</v>
      </c>
      <c r="G6" s="40" t="s">
        <v>55</v>
      </c>
      <c r="H6" s="41"/>
      <c r="I6" s="41"/>
      <c r="J6" s="41"/>
      <c r="K6" s="1"/>
      <c r="L6" s="1"/>
      <c r="M6" s="1"/>
      <c r="N6" s="1"/>
      <c r="O6" s="1"/>
      <c r="P6" s="1"/>
      <c r="Q6" s="1"/>
      <c r="R6" s="1"/>
      <c r="S6" s="1"/>
      <c r="T6" s="1"/>
      <c r="U6" s="1"/>
      <c r="V6" s="1"/>
      <c r="W6" s="1"/>
      <c r="X6" s="1"/>
      <c r="Y6" s="1"/>
      <c r="Z6" s="1"/>
      <c r="AA6" s="1"/>
    </row>
    <row r="7" ht="15.75" customHeight="1">
      <c r="A7" s="42"/>
      <c r="B7" s="42"/>
      <c r="C7" s="42"/>
      <c r="D7" s="42"/>
      <c r="E7" s="42"/>
      <c r="F7" s="42"/>
      <c r="G7" s="42"/>
      <c r="H7" s="41"/>
      <c r="I7" s="41"/>
      <c r="J7" s="41"/>
      <c r="K7" s="1"/>
      <c r="L7" s="1"/>
      <c r="M7" s="1"/>
      <c r="N7" s="1"/>
      <c r="O7" s="1"/>
      <c r="P7" s="1"/>
      <c r="Q7" s="1"/>
      <c r="R7" s="1"/>
      <c r="S7" s="1"/>
      <c r="T7" s="1"/>
      <c r="U7" s="1"/>
      <c r="V7" s="1"/>
      <c r="W7" s="1"/>
      <c r="X7" s="1"/>
      <c r="Y7" s="1"/>
      <c r="Z7" s="1"/>
      <c r="AA7" s="1"/>
    </row>
    <row r="8" ht="15.75" customHeight="1">
      <c r="A8" s="43" t="s">
        <v>56</v>
      </c>
      <c r="B8" s="43" t="s">
        <v>57</v>
      </c>
      <c r="C8" s="43" t="s">
        <v>58</v>
      </c>
      <c r="D8" s="43" t="s">
        <v>59</v>
      </c>
      <c r="E8" s="43" t="s">
        <v>60</v>
      </c>
      <c r="F8" s="44" t="s">
        <v>61</v>
      </c>
      <c r="G8" s="45" t="s">
        <v>62</v>
      </c>
      <c r="H8" s="41"/>
      <c r="I8" s="41"/>
      <c r="J8" s="41"/>
      <c r="K8" s="1"/>
      <c r="L8" s="1"/>
      <c r="M8" s="1"/>
      <c r="N8" s="1"/>
      <c r="O8" s="1"/>
      <c r="P8" s="1"/>
      <c r="Q8" s="1"/>
      <c r="R8" s="1"/>
      <c r="S8" s="1"/>
      <c r="T8" s="1"/>
      <c r="U8" s="1"/>
      <c r="V8" s="1"/>
      <c r="W8" s="1"/>
      <c r="X8" s="1"/>
      <c r="Y8" s="1"/>
      <c r="Z8" s="1"/>
      <c r="AA8" s="1"/>
    </row>
    <row r="9" ht="15.75" customHeight="1">
      <c r="A9" s="43" t="s">
        <v>63</v>
      </c>
      <c r="B9" s="43" t="s">
        <v>64</v>
      </c>
      <c r="C9" s="43" t="s">
        <v>65</v>
      </c>
      <c r="D9" s="43" t="s">
        <v>66</v>
      </c>
      <c r="E9" s="43" t="s">
        <v>60</v>
      </c>
      <c r="F9" s="46" t="s">
        <v>67</v>
      </c>
      <c r="G9" s="47"/>
      <c r="H9" s="42"/>
      <c r="I9" s="42"/>
      <c r="J9" s="42"/>
      <c r="K9" s="1"/>
      <c r="L9" s="1"/>
      <c r="M9" s="1"/>
      <c r="N9" s="1"/>
      <c r="O9" s="1"/>
      <c r="P9" s="1"/>
      <c r="Q9" s="1"/>
      <c r="R9" s="1"/>
      <c r="S9" s="1"/>
      <c r="T9" s="1"/>
      <c r="U9" s="1"/>
      <c r="V9" s="1"/>
      <c r="W9" s="1"/>
      <c r="X9" s="1"/>
      <c r="Y9" s="1"/>
      <c r="Z9" s="1"/>
      <c r="AA9" s="1"/>
    </row>
    <row r="10" ht="15.75" customHeight="1">
      <c r="A10" s="48" t="s">
        <v>68</v>
      </c>
      <c r="B10" s="49" t="s">
        <v>69</v>
      </c>
      <c r="C10" s="49" t="s">
        <v>70</v>
      </c>
      <c r="D10" s="49" t="s">
        <v>71</v>
      </c>
      <c r="E10" s="50" t="s">
        <v>60</v>
      </c>
      <c r="F10" s="51" t="s">
        <v>72</v>
      </c>
      <c r="G10" s="50"/>
      <c r="H10" s="52" t="s">
        <v>73</v>
      </c>
      <c r="I10" s="53"/>
      <c r="J10" s="53"/>
      <c r="K10" s="1"/>
      <c r="L10" s="1"/>
      <c r="M10" s="1"/>
      <c r="N10" s="1"/>
      <c r="O10" s="1"/>
      <c r="P10" s="1"/>
      <c r="Q10" s="1"/>
      <c r="R10" s="1"/>
      <c r="S10" s="1"/>
      <c r="T10" s="1"/>
      <c r="U10" s="1"/>
      <c r="V10" s="1"/>
      <c r="W10" s="1"/>
      <c r="X10" s="1"/>
      <c r="Y10" s="1"/>
      <c r="Z10" s="1"/>
      <c r="AA10" s="1"/>
    </row>
    <row r="11" ht="15.75" customHeight="1">
      <c r="A11" s="48" t="s">
        <v>74</v>
      </c>
      <c r="B11" s="49" t="s">
        <v>75</v>
      </c>
      <c r="C11" s="49" t="s">
        <v>76</v>
      </c>
      <c r="D11" s="49" t="s">
        <v>77</v>
      </c>
      <c r="E11" s="50" t="s">
        <v>60</v>
      </c>
      <c r="F11" s="51" t="s">
        <v>78</v>
      </c>
      <c r="G11" s="50"/>
      <c r="H11" s="52" t="s">
        <v>73</v>
      </c>
      <c r="I11" s="53"/>
      <c r="J11" s="53"/>
      <c r="K11" s="1"/>
      <c r="L11" s="1"/>
      <c r="M11" s="1"/>
      <c r="N11" s="1"/>
      <c r="O11" s="1"/>
      <c r="P11" s="1"/>
      <c r="Q11" s="1"/>
      <c r="R11" s="1"/>
      <c r="S11" s="1"/>
      <c r="T11" s="1"/>
      <c r="U11" s="1"/>
      <c r="V11" s="1"/>
      <c r="W11" s="1"/>
      <c r="X11" s="1"/>
      <c r="Y11" s="1"/>
      <c r="Z11" s="1"/>
      <c r="AA11" s="1"/>
    </row>
    <row r="12" ht="15.75" customHeight="1">
      <c r="A12" s="48" t="s">
        <v>79</v>
      </c>
      <c r="B12" s="49" t="s">
        <v>80</v>
      </c>
      <c r="C12" s="49" t="s">
        <v>81</v>
      </c>
      <c r="D12" s="49" t="s">
        <v>82</v>
      </c>
      <c r="E12" s="50" t="s">
        <v>60</v>
      </c>
      <c r="F12" s="51" t="s">
        <v>83</v>
      </c>
      <c r="G12" s="50"/>
      <c r="H12" s="52" t="s">
        <v>73</v>
      </c>
      <c r="I12" s="53"/>
      <c r="J12" s="53"/>
      <c r="K12" s="1"/>
      <c r="L12" s="1"/>
      <c r="M12" s="1"/>
      <c r="N12" s="1"/>
      <c r="O12" s="1"/>
      <c r="P12" s="1"/>
      <c r="Q12" s="1"/>
      <c r="R12" s="1"/>
      <c r="S12" s="1"/>
      <c r="T12" s="1"/>
      <c r="U12" s="1"/>
      <c r="V12" s="1"/>
      <c r="W12" s="1"/>
      <c r="X12" s="1"/>
      <c r="Y12" s="1"/>
      <c r="Z12" s="1"/>
      <c r="AA12" s="1"/>
    </row>
    <row r="13" ht="15.75" customHeight="1">
      <c r="A13" s="48" t="s">
        <v>84</v>
      </c>
      <c r="B13" s="49" t="s">
        <v>85</v>
      </c>
      <c r="C13" s="49" t="s">
        <v>86</v>
      </c>
      <c r="D13" s="49" t="s">
        <v>87</v>
      </c>
      <c r="E13" s="50" t="s">
        <v>60</v>
      </c>
      <c r="F13" s="50" t="s">
        <v>88</v>
      </c>
      <c r="G13" s="50"/>
      <c r="H13" s="52" t="s">
        <v>73</v>
      </c>
      <c r="I13" s="53"/>
      <c r="J13" s="53"/>
      <c r="K13" s="1"/>
      <c r="L13" s="1"/>
      <c r="M13" s="1"/>
      <c r="N13" s="1"/>
      <c r="O13" s="1"/>
      <c r="P13" s="1"/>
      <c r="Q13" s="1"/>
      <c r="R13" s="1"/>
      <c r="S13" s="1"/>
      <c r="T13" s="1"/>
      <c r="U13" s="1"/>
      <c r="V13" s="1"/>
      <c r="W13" s="1"/>
      <c r="X13" s="1"/>
      <c r="Y13" s="1"/>
      <c r="Z13" s="1"/>
      <c r="AA13" s="1"/>
    </row>
    <row r="14" ht="15.75" customHeight="1">
      <c r="A14" s="48" t="s">
        <v>89</v>
      </c>
      <c r="B14" s="49" t="s">
        <v>90</v>
      </c>
      <c r="C14" s="49" t="s">
        <v>91</v>
      </c>
      <c r="D14" s="49" t="s">
        <v>92</v>
      </c>
      <c r="E14" s="50" t="s">
        <v>60</v>
      </c>
      <c r="F14" s="50" t="s">
        <v>93</v>
      </c>
      <c r="G14" s="50"/>
      <c r="H14" s="52" t="s">
        <v>73</v>
      </c>
      <c r="I14" s="53"/>
      <c r="J14" s="53"/>
      <c r="K14" s="1"/>
      <c r="L14" s="1"/>
      <c r="M14" s="1"/>
      <c r="N14" s="1"/>
      <c r="O14" s="1"/>
      <c r="P14" s="1"/>
      <c r="Q14" s="1"/>
      <c r="R14" s="1"/>
      <c r="S14" s="1"/>
      <c r="T14" s="1"/>
      <c r="U14" s="1"/>
      <c r="V14" s="1"/>
      <c r="W14" s="1"/>
      <c r="X14" s="1"/>
      <c r="Y14" s="1"/>
      <c r="Z14" s="1"/>
      <c r="AA14" s="1"/>
    </row>
    <row r="15" ht="15.75" customHeight="1">
      <c r="A15" s="48" t="s">
        <v>94</v>
      </c>
      <c r="B15" s="49" t="s">
        <v>95</v>
      </c>
      <c r="C15" s="49" t="s">
        <v>96</v>
      </c>
      <c r="D15" s="49" t="s">
        <v>97</v>
      </c>
      <c r="E15" s="50" t="s">
        <v>60</v>
      </c>
      <c r="F15" s="50" t="s">
        <v>98</v>
      </c>
      <c r="G15" s="50"/>
      <c r="H15" s="52" t="s">
        <v>73</v>
      </c>
      <c r="I15" s="53"/>
      <c r="J15" s="53"/>
      <c r="K15" s="1"/>
      <c r="L15" s="1"/>
      <c r="M15" s="1"/>
      <c r="N15" s="1"/>
      <c r="O15" s="1"/>
      <c r="P15" s="1"/>
      <c r="Q15" s="1"/>
      <c r="R15" s="1"/>
      <c r="S15" s="1"/>
      <c r="T15" s="1"/>
      <c r="U15" s="1"/>
      <c r="V15" s="1"/>
      <c r="W15" s="1"/>
      <c r="X15" s="1"/>
      <c r="Y15" s="1"/>
      <c r="Z15" s="1"/>
      <c r="AA15" s="1"/>
    </row>
    <row r="16" ht="15.75" customHeight="1">
      <c r="A16" s="54" t="s">
        <v>99</v>
      </c>
      <c r="B16" s="55" t="s">
        <v>100</v>
      </c>
      <c r="C16" s="55" t="s">
        <v>101</v>
      </c>
      <c r="D16" s="55" t="s">
        <v>102</v>
      </c>
      <c r="E16" s="50" t="s">
        <v>60</v>
      </c>
      <c r="F16" s="53" t="s">
        <v>103</v>
      </c>
      <c r="G16" s="53"/>
      <c r="H16" s="52" t="s">
        <v>73</v>
      </c>
      <c r="I16" s="53"/>
      <c r="J16" s="53"/>
      <c r="K16" s="1"/>
      <c r="L16" s="1"/>
      <c r="M16" s="1"/>
      <c r="N16" s="1"/>
      <c r="O16" s="1"/>
      <c r="P16" s="1"/>
      <c r="Q16" s="1"/>
      <c r="R16" s="1"/>
      <c r="S16" s="1"/>
      <c r="T16" s="1"/>
      <c r="U16" s="1"/>
      <c r="V16" s="1"/>
      <c r="W16" s="1"/>
      <c r="X16" s="1"/>
      <c r="Y16" s="1"/>
      <c r="Z16" s="1"/>
      <c r="AA16" s="1"/>
    </row>
    <row r="17" ht="15.75" customHeight="1">
      <c r="A17" s="48" t="s">
        <v>104</v>
      </c>
      <c r="B17" s="55" t="s">
        <v>105</v>
      </c>
      <c r="C17" s="55" t="s">
        <v>106</v>
      </c>
      <c r="D17" s="55" t="s">
        <v>107</v>
      </c>
      <c r="E17" s="50" t="s">
        <v>60</v>
      </c>
      <c r="F17" s="53" t="s">
        <v>108</v>
      </c>
      <c r="G17" s="53"/>
      <c r="H17" s="52" t="s">
        <v>73</v>
      </c>
      <c r="I17" s="53"/>
      <c r="J17" s="53"/>
      <c r="K17" s="1"/>
      <c r="L17" s="1"/>
      <c r="M17" s="1"/>
      <c r="N17" s="1"/>
      <c r="O17" s="1"/>
      <c r="P17" s="1"/>
      <c r="Q17" s="1"/>
      <c r="R17" s="1"/>
      <c r="S17" s="1"/>
      <c r="T17" s="1"/>
      <c r="U17" s="1"/>
      <c r="V17" s="1"/>
      <c r="W17" s="1"/>
      <c r="X17" s="1"/>
      <c r="Y17" s="1"/>
      <c r="Z17" s="1"/>
      <c r="AA17" s="1"/>
    </row>
    <row r="18" ht="15.75" customHeight="1">
      <c r="A18" s="48" t="s">
        <v>109</v>
      </c>
      <c r="B18" s="55" t="s">
        <v>110</v>
      </c>
      <c r="C18" s="55" t="s">
        <v>111</v>
      </c>
      <c r="D18" s="55" t="s">
        <v>112</v>
      </c>
      <c r="E18" s="50" t="s">
        <v>60</v>
      </c>
      <c r="F18" s="53" t="s">
        <v>113</v>
      </c>
      <c r="G18" s="53"/>
      <c r="H18" s="52" t="s">
        <v>73</v>
      </c>
      <c r="I18" s="53"/>
      <c r="J18" s="53"/>
      <c r="K18" s="1"/>
      <c r="L18" s="1"/>
      <c r="M18" s="1"/>
      <c r="N18" s="1"/>
      <c r="O18" s="1"/>
      <c r="P18" s="1"/>
      <c r="Q18" s="1"/>
      <c r="R18" s="1"/>
      <c r="S18" s="1"/>
      <c r="T18" s="1"/>
      <c r="U18" s="1"/>
      <c r="V18" s="1"/>
      <c r="W18" s="1"/>
      <c r="X18" s="1"/>
      <c r="Y18" s="1"/>
      <c r="Z18" s="1"/>
      <c r="AA18" s="1"/>
    </row>
    <row r="19" ht="15.75" customHeight="1">
      <c r="A19" s="48" t="s">
        <v>114</v>
      </c>
      <c r="B19" s="55" t="s">
        <v>115</v>
      </c>
      <c r="C19" s="55" t="s">
        <v>116</v>
      </c>
      <c r="D19" s="55" t="s">
        <v>117</v>
      </c>
      <c r="E19" s="50" t="s">
        <v>60</v>
      </c>
      <c r="F19" s="53" t="s">
        <v>118</v>
      </c>
      <c r="G19" s="56" t="s">
        <v>119</v>
      </c>
      <c r="H19" s="52" t="s">
        <v>73</v>
      </c>
      <c r="I19" s="53"/>
      <c r="J19" s="53"/>
      <c r="K19" s="1"/>
      <c r="L19" s="1"/>
      <c r="M19" s="1"/>
      <c r="N19" s="1"/>
      <c r="O19" s="1"/>
      <c r="P19" s="1"/>
      <c r="Q19" s="1"/>
      <c r="R19" s="1"/>
      <c r="S19" s="1"/>
      <c r="T19" s="1"/>
      <c r="U19" s="1"/>
      <c r="V19" s="1"/>
      <c r="W19" s="1"/>
      <c r="X19" s="1"/>
      <c r="Y19" s="1"/>
      <c r="Z19" s="1"/>
      <c r="AA19" s="1"/>
    </row>
    <row r="20" ht="15.75" customHeight="1">
      <c r="A20" s="53"/>
      <c r="B20" s="53"/>
      <c r="C20" s="53"/>
      <c r="D20" s="53"/>
      <c r="E20" s="53"/>
      <c r="F20" s="53"/>
      <c r="G20" s="57"/>
      <c r="H20" s="53"/>
      <c r="I20" s="53"/>
      <c r="J20" s="53"/>
      <c r="K20" s="1"/>
      <c r="L20" s="1"/>
      <c r="M20" s="1"/>
      <c r="N20" s="1"/>
      <c r="O20" s="1"/>
      <c r="P20" s="1"/>
      <c r="Q20" s="1"/>
      <c r="R20" s="1"/>
      <c r="S20" s="1"/>
      <c r="T20" s="1"/>
      <c r="U20" s="1"/>
      <c r="V20" s="1"/>
      <c r="W20" s="1"/>
      <c r="X20" s="1"/>
      <c r="Y20" s="1"/>
      <c r="Z20" s="1"/>
      <c r="AA20" s="1"/>
    </row>
    <row r="21" ht="15.75" customHeight="1">
      <c r="A21" s="53"/>
      <c r="B21" s="53"/>
      <c r="C21" s="53"/>
      <c r="D21" s="53"/>
      <c r="E21" s="53"/>
      <c r="F21" s="53"/>
      <c r="G21" s="53"/>
      <c r="H21" s="53"/>
      <c r="I21" s="53"/>
      <c r="J21" s="53"/>
      <c r="K21" s="1"/>
      <c r="L21" s="1"/>
      <c r="M21" s="1"/>
      <c r="N21" s="1"/>
      <c r="O21" s="1"/>
      <c r="P21" s="1"/>
      <c r="Q21" s="1"/>
      <c r="R21" s="1"/>
      <c r="S21" s="1"/>
      <c r="T21" s="1"/>
      <c r="U21" s="1"/>
      <c r="V21" s="1"/>
      <c r="W21" s="1"/>
      <c r="X21" s="1"/>
      <c r="Y21" s="1"/>
      <c r="Z21" s="1"/>
      <c r="AA21" s="1"/>
    </row>
    <row r="22" ht="15.75" customHeight="1">
      <c r="A22" s="53"/>
      <c r="B22" s="53"/>
      <c r="C22" s="53"/>
      <c r="D22" s="53"/>
      <c r="E22" s="53"/>
      <c r="F22" s="53"/>
      <c r="G22" s="53"/>
      <c r="H22" s="53"/>
      <c r="I22" s="53"/>
      <c r="J22" s="53"/>
      <c r="K22" s="1"/>
      <c r="L22" s="1"/>
      <c r="M22" s="1"/>
      <c r="N22" s="1"/>
      <c r="O22" s="1"/>
      <c r="P22" s="1"/>
      <c r="Q22" s="1"/>
      <c r="R22" s="1"/>
      <c r="S22" s="1"/>
      <c r="T22" s="1"/>
      <c r="U22" s="1"/>
      <c r="V22" s="1"/>
      <c r="W22" s="1"/>
      <c r="X22" s="1"/>
      <c r="Y22" s="1"/>
      <c r="Z22" s="1"/>
      <c r="AA22" s="1"/>
    </row>
    <row r="23" ht="15.75" customHeight="1">
      <c r="A23" s="53"/>
      <c r="B23" s="53"/>
      <c r="C23" s="53"/>
      <c r="D23" s="53"/>
      <c r="E23" s="53"/>
      <c r="F23" s="53"/>
      <c r="G23" s="53"/>
      <c r="H23" s="53"/>
      <c r="I23" s="53"/>
      <c r="J23" s="53"/>
      <c r="K23" s="1"/>
      <c r="L23" s="1"/>
      <c r="M23" s="1"/>
      <c r="N23" s="1"/>
      <c r="O23" s="1"/>
      <c r="P23" s="1"/>
      <c r="Q23" s="1"/>
      <c r="R23" s="1"/>
      <c r="S23" s="1"/>
      <c r="T23" s="1"/>
      <c r="U23" s="1"/>
      <c r="V23" s="1"/>
      <c r="W23" s="1"/>
      <c r="X23" s="1"/>
      <c r="Y23" s="1"/>
      <c r="Z23" s="1"/>
      <c r="AA23" s="1"/>
    </row>
    <row r="24" ht="15.75" customHeight="1">
      <c r="A24" s="53"/>
      <c r="B24" s="53"/>
      <c r="C24" s="53"/>
      <c r="D24" s="53"/>
      <c r="E24" s="53"/>
      <c r="F24" s="53"/>
      <c r="G24" s="53"/>
      <c r="H24" s="53"/>
      <c r="I24" s="53"/>
      <c r="J24" s="53"/>
      <c r="K24" s="1"/>
      <c r="L24" s="1"/>
      <c r="M24" s="1"/>
      <c r="N24" s="1"/>
      <c r="O24" s="1"/>
      <c r="P24" s="1"/>
      <c r="Q24" s="1"/>
      <c r="R24" s="1"/>
      <c r="S24" s="1"/>
      <c r="T24" s="1"/>
      <c r="U24" s="1"/>
      <c r="V24" s="1"/>
      <c r="W24" s="1"/>
      <c r="X24" s="1"/>
      <c r="Y24" s="1"/>
      <c r="Z24" s="1"/>
      <c r="AA24" s="1"/>
    </row>
    <row r="25" ht="15.75" customHeight="1">
      <c r="A25" s="53"/>
      <c r="B25" s="53"/>
      <c r="C25" s="53"/>
      <c r="D25" s="53"/>
      <c r="E25" s="53"/>
      <c r="F25" s="53"/>
      <c r="G25" s="53"/>
      <c r="H25" s="53"/>
      <c r="I25" s="53"/>
      <c r="J25" s="53"/>
      <c r="K25" s="1"/>
      <c r="L25" s="1"/>
      <c r="M25" s="1"/>
      <c r="N25" s="1"/>
      <c r="O25" s="1"/>
      <c r="P25" s="1"/>
      <c r="Q25" s="1"/>
      <c r="R25" s="1"/>
      <c r="S25" s="1"/>
      <c r="T25" s="1"/>
      <c r="U25" s="1"/>
      <c r="V25" s="1"/>
      <c r="W25" s="1"/>
      <c r="X25" s="1"/>
      <c r="Y25" s="1"/>
      <c r="Z25" s="1"/>
      <c r="AA25" s="1"/>
    </row>
    <row r="26" ht="15.75" customHeight="1">
      <c r="A26" s="53"/>
      <c r="B26" s="53"/>
      <c r="C26" s="53"/>
      <c r="D26" s="53"/>
      <c r="E26" s="53"/>
      <c r="F26" s="53"/>
      <c r="G26" s="53"/>
      <c r="H26" s="53"/>
      <c r="I26" s="53"/>
      <c r="J26" s="53"/>
      <c r="K26" s="1"/>
      <c r="L26" s="1"/>
      <c r="M26" s="1"/>
      <c r="N26" s="1"/>
      <c r="O26" s="1"/>
      <c r="P26" s="1"/>
      <c r="Q26" s="1"/>
      <c r="R26" s="1"/>
      <c r="S26" s="1"/>
      <c r="T26" s="1"/>
      <c r="U26" s="1"/>
      <c r="V26" s="1"/>
      <c r="W26" s="1"/>
      <c r="X26" s="1"/>
      <c r="Y26" s="1"/>
      <c r="Z26" s="1"/>
      <c r="AA26" s="1"/>
    </row>
    <row r="27" ht="15.75" customHeight="1">
      <c r="A27" s="53"/>
      <c r="B27" s="53"/>
      <c r="C27" s="53"/>
      <c r="D27" s="53"/>
      <c r="E27" s="53"/>
      <c r="F27" s="53"/>
      <c r="G27" s="53"/>
      <c r="H27" s="53"/>
      <c r="I27" s="53"/>
      <c r="J27" s="53"/>
      <c r="K27" s="1"/>
      <c r="L27" s="1"/>
      <c r="M27" s="1"/>
      <c r="N27" s="1"/>
      <c r="O27" s="1"/>
      <c r="P27" s="1"/>
      <c r="Q27" s="1"/>
      <c r="R27" s="1"/>
      <c r="S27" s="1"/>
      <c r="T27" s="1"/>
      <c r="U27" s="1"/>
      <c r="V27" s="1"/>
      <c r="W27" s="1"/>
      <c r="X27" s="1"/>
      <c r="Y27" s="1"/>
      <c r="Z27" s="1"/>
      <c r="AA27" s="1"/>
    </row>
    <row r="28" ht="15.75" customHeight="1">
      <c r="A28" s="53"/>
      <c r="B28" s="53"/>
      <c r="C28" s="53"/>
      <c r="D28" s="53"/>
      <c r="E28" s="53"/>
      <c r="F28" s="53"/>
      <c r="G28" s="53"/>
      <c r="H28" s="53"/>
      <c r="I28" s="53"/>
      <c r="J28" s="53"/>
      <c r="K28" s="1"/>
      <c r="L28" s="1"/>
      <c r="M28" s="1"/>
      <c r="N28" s="1"/>
      <c r="O28" s="1"/>
      <c r="P28" s="1"/>
      <c r="Q28" s="1"/>
      <c r="R28" s="1"/>
      <c r="S28" s="1"/>
      <c r="T28" s="1"/>
      <c r="U28" s="1"/>
      <c r="V28" s="1"/>
      <c r="W28" s="1"/>
      <c r="X28" s="1"/>
      <c r="Y28" s="1"/>
      <c r="Z28" s="1"/>
      <c r="AA28" s="1"/>
    </row>
    <row r="29" ht="15.75" customHeight="1">
      <c r="A29" s="53"/>
      <c r="B29" s="53"/>
      <c r="C29" s="53"/>
      <c r="D29" s="53"/>
      <c r="E29" s="53"/>
      <c r="F29" s="53"/>
      <c r="G29" s="53"/>
      <c r="H29" s="53"/>
      <c r="I29" s="53"/>
      <c r="J29" s="53"/>
      <c r="K29" s="1"/>
      <c r="L29" s="1"/>
      <c r="M29" s="1"/>
      <c r="N29" s="1"/>
      <c r="O29" s="1"/>
      <c r="P29" s="1"/>
      <c r="Q29" s="1"/>
      <c r="R29" s="1"/>
      <c r="S29" s="1"/>
      <c r="T29" s="1"/>
      <c r="U29" s="1"/>
      <c r="V29" s="1"/>
      <c r="W29" s="1"/>
      <c r="X29" s="1"/>
      <c r="Y29" s="1"/>
      <c r="Z29" s="1"/>
      <c r="AA29" s="1"/>
    </row>
    <row r="30" ht="15.75" customHeight="1">
      <c r="A30" s="53"/>
      <c r="B30" s="53"/>
      <c r="C30" s="53"/>
      <c r="D30" s="53"/>
      <c r="E30" s="53"/>
      <c r="F30" s="53"/>
      <c r="G30" s="53"/>
      <c r="H30" s="53"/>
      <c r="I30" s="53"/>
      <c r="J30" s="53"/>
      <c r="K30" s="1"/>
      <c r="L30" s="1"/>
      <c r="M30" s="1"/>
      <c r="N30" s="1"/>
      <c r="O30" s="1"/>
      <c r="P30" s="1"/>
      <c r="Q30" s="1"/>
      <c r="R30" s="1"/>
      <c r="S30" s="1"/>
      <c r="T30" s="1"/>
      <c r="U30" s="1"/>
      <c r="V30" s="1"/>
      <c r="W30" s="1"/>
      <c r="X30" s="1"/>
      <c r="Y30" s="1"/>
      <c r="Z30" s="1"/>
      <c r="AA30" s="1"/>
    </row>
    <row r="31" ht="15.75" customHeight="1">
      <c r="A31" s="53"/>
      <c r="B31" s="53"/>
      <c r="C31" s="53"/>
      <c r="D31" s="53"/>
      <c r="E31" s="53"/>
      <c r="F31" s="53"/>
      <c r="G31" s="53"/>
      <c r="H31" s="53"/>
      <c r="I31" s="53"/>
      <c r="J31" s="53"/>
      <c r="K31" s="1"/>
      <c r="L31" s="1"/>
      <c r="M31" s="1"/>
      <c r="N31" s="1"/>
      <c r="O31" s="1"/>
      <c r="P31" s="1"/>
      <c r="Q31" s="1"/>
      <c r="R31" s="1"/>
      <c r="S31" s="1"/>
      <c r="T31" s="1"/>
      <c r="U31" s="1"/>
      <c r="V31" s="1"/>
      <c r="W31" s="1"/>
      <c r="X31" s="1"/>
      <c r="Y31" s="1"/>
      <c r="Z31" s="1"/>
      <c r="AA31" s="1"/>
    </row>
    <row r="32" ht="15.75" customHeight="1">
      <c r="A32" s="53"/>
      <c r="B32" s="53"/>
      <c r="C32" s="53"/>
      <c r="D32" s="53"/>
      <c r="E32" s="53"/>
      <c r="F32" s="53"/>
      <c r="G32" s="53"/>
      <c r="H32" s="53"/>
      <c r="I32" s="53"/>
      <c r="J32" s="53"/>
      <c r="K32" s="1"/>
      <c r="L32" s="1"/>
      <c r="M32" s="1"/>
      <c r="N32" s="1"/>
      <c r="O32" s="1"/>
      <c r="P32" s="1"/>
      <c r="Q32" s="1"/>
      <c r="R32" s="1"/>
      <c r="S32" s="1"/>
      <c r="T32" s="1"/>
      <c r="U32" s="1"/>
      <c r="V32" s="1"/>
      <c r="W32" s="1"/>
      <c r="X32" s="1"/>
      <c r="Y32" s="1"/>
      <c r="Z32" s="1"/>
      <c r="AA32" s="1"/>
    </row>
    <row r="33" ht="15.75" customHeight="1">
      <c r="A33" s="53"/>
      <c r="B33" s="53"/>
      <c r="C33" s="53"/>
      <c r="D33" s="53"/>
      <c r="E33" s="53"/>
      <c r="F33" s="53"/>
      <c r="G33" s="53"/>
      <c r="H33" s="53"/>
      <c r="I33" s="53"/>
      <c r="J33" s="53"/>
      <c r="K33" s="1"/>
      <c r="L33" s="1"/>
      <c r="M33" s="1"/>
      <c r="N33" s="1"/>
      <c r="O33" s="1"/>
      <c r="P33" s="1"/>
      <c r="Q33" s="1"/>
      <c r="R33" s="1"/>
      <c r="S33" s="1"/>
      <c r="T33" s="1"/>
      <c r="U33" s="1"/>
      <c r="V33" s="1"/>
      <c r="W33" s="1"/>
      <c r="X33" s="1"/>
      <c r="Y33" s="1"/>
      <c r="Z33" s="1"/>
      <c r="AA33" s="1"/>
    </row>
    <row r="34" ht="15.75" customHeight="1">
      <c r="A34" s="53"/>
      <c r="B34" s="53"/>
      <c r="C34" s="53"/>
      <c r="D34" s="53"/>
      <c r="E34" s="53"/>
      <c r="F34" s="53"/>
      <c r="G34" s="53"/>
      <c r="H34" s="53"/>
      <c r="I34" s="53"/>
      <c r="J34" s="53"/>
      <c r="K34" s="1"/>
      <c r="L34" s="1"/>
      <c r="M34" s="1"/>
      <c r="N34" s="1"/>
      <c r="O34" s="1"/>
      <c r="P34" s="1"/>
      <c r="Q34" s="1"/>
      <c r="R34" s="1"/>
      <c r="S34" s="1"/>
      <c r="T34" s="1"/>
      <c r="U34" s="1"/>
      <c r="V34" s="1"/>
      <c r="W34" s="1"/>
      <c r="X34" s="1"/>
      <c r="Y34" s="1"/>
      <c r="Z34" s="1"/>
      <c r="AA34" s="1"/>
    </row>
    <row r="35" ht="15.75" customHeight="1">
      <c r="A35" s="53"/>
      <c r="B35" s="53"/>
      <c r="C35" s="53"/>
      <c r="D35" s="53"/>
      <c r="E35" s="53"/>
      <c r="F35" s="53"/>
      <c r="G35" s="53"/>
      <c r="H35" s="53"/>
      <c r="I35" s="53"/>
      <c r="J35" s="53"/>
      <c r="K35" s="1"/>
      <c r="L35" s="1"/>
      <c r="M35" s="1"/>
      <c r="N35" s="1"/>
      <c r="O35" s="1"/>
      <c r="P35" s="1"/>
      <c r="Q35" s="1"/>
      <c r="R35" s="1"/>
      <c r="S35" s="1"/>
      <c r="T35" s="1"/>
      <c r="U35" s="1"/>
      <c r="V35" s="1"/>
      <c r="W35" s="1"/>
      <c r="X35" s="1"/>
      <c r="Y35" s="1"/>
      <c r="Z35" s="1"/>
      <c r="AA35" s="1"/>
    </row>
    <row r="36" ht="15.75" customHeight="1">
      <c r="A36" s="53"/>
      <c r="B36" s="53"/>
      <c r="C36" s="53"/>
      <c r="D36" s="53"/>
      <c r="E36" s="53"/>
      <c r="F36" s="53"/>
      <c r="G36" s="53"/>
      <c r="H36" s="53"/>
      <c r="I36" s="53"/>
      <c r="J36" s="53"/>
      <c r="K36" s="1"/>
      <c r="L36" s="1"/>
      <c r="M36" s="1"/>
      <c r="N36" s="1"/>
      <c r="O36" s="1"/>
      <c r="P36" s="1"/>
      <c r="Q36" s="1"/>
      <c r="R36" s="1"/>
      <c r="S36" s="1"/>
      <c r="T36" s="1"/>
      <c r="U36" s="1"/>
      <c r="V36" s="1"/>
      <c r="W36" s="1"/>
      <c r="X36" s="1"/>
      <c r="Y36" s="1"/>
      <c r="Z36" s="1"/>
      <c r="AA36" s="1"/>
    </row>
    <row r="37" ht="15.75" customHeight="1">
      <c r="A37" s="53"/>
      <c r="B37" s="53"/>
      <c r="C37" s="53"/>
      <c r="D37" s="53"/>
      <c r="E37" s="53"/>
      <c r="F37" s="53"/>
      <c r="G37" s="53"/>
      <c r="H37" s="53"/>
      <c r="I37" s="53"/>
      <c r="J37" s="53"/>
      <c r="K37" s="1"/>
      <c r="L37" s="1"/>
      <c r="M37" s="1"/>
      <c r="N37" s="1"/>
      <c r="O37" s="1"/>
      <c r="P37" s="1"/>
      <c r="Q37" s="1"/>
      <c r="R37" s="1"/>
      <c r="S37" s="1"/>
      <c r="T37" s="1"/>
      <c r="U37" s="1"/>
      <c r="V37" s="1"/>
      <c r="W37" s="1"/>
      <c r="X37" s="1"/>
      <c r="Y37" s="1"/>
      <c r="Z37" s="1"/>
      <c r="AA37" s="1"/>
    </row>
    <row r="38" ht="15.75" customHeight="1">
      <c r="A38" s="53"/>
      <c r="B38" s="53"/>
      <c r="C38" s="53"/>
      <c r="D38" s="53"/>
      <c r="E38" s="53"/>
      <c r="F38" s="53"/>
      <c r="G38" s="53"/>
      <c r="H38" s="53"/>
      <c r="I38" s="53"/>
      <c r="J38" s="53"/>
      <c r="K38" s="1"/>
      <c r="L38" s="1"/>
      <c r="M38" s="1"/>
      <c r="N38" s="1"/>
      <c r="O38" s="1"/>
      <c r="P38" s="1"/>
      <c r="Q38" s="1"/>
      <c r="R38" s="1"/>
      <c r="S38" s="1"/>
      <c r="T38" s="1"/>
      <c r="U38" s="1"/>
      <c r="V38" s="1"/>
      <c r="W38" s="1"/>
      <c r="X38" s="1"/>
      <c r="Y38" s="1"/>
      <c r="Z38" s="1"/>
      <c r="AA38" s="1"/>
    </row>
    <row r="39" ht="15.75" customHeight="1">
      <c r="A39" s="53"/>
      <c r="B39" s="53"/>
      <c r="C39" s="53"/>
      <c r="D39" s="53"/>
      <c r="E39" s="53"/>
      <c r="F39" s="53"/>
      <c r="G39" s="53"/>
      <c r="H39" s="53"/>
      <c r="I39" s="53"/>
      <c r="J39" s="53"/>
      <c r="K39" s="1"/>
      <c r="L39" s="1"/>
      <c r="M39" s="1"/>
      <c r="N39" s="1"/>
      <c r="O39" s="1"/>
      <c r="P39" s="1"/>
      <c r="Q39" s="1"/>
      <c r="R39" s="1"/>
      <c r="S39" s="1"/>
      <c r="T39" s="1"/>
      <c r="U39" s="1"/>
      <c r="V39" s="1"/>
      <c r="W39" s="1"/>
      <c r="X39" s="1"/>
      <c r="Y39" s="1"/>
      <c r="Z39" s="1"/>
      <c r="AA39" s="1"/>
    </row>
    <row r="40" ht="15.75" customHeight="1">
      <c r="A40" s="53"/>
      <c r="B40" s="53"/>
      <c r="C40" s="53"/>
      <c r="D40" s="53"/>
      <c r="E40" s="53"/>
      <c r="F40" s="53"/>
      <c r="G40" s="53"/>
      <c r="H40" s="53"/>
      <c r="I40" s="53"/>
      <c r="J40" s="53"/>
      <c r="K40" s="1"/>
      <c r="L40" s="1"/>
      <c r="M40" s="1"/>
      <c r="N40" s="1"/>
      <c r="O40" s="1"/>
      <c r="P40" s="1"/>
      <c r="Q40" s="1"/>
      <c r="R40" s="1"/>
      <c r="S40" s="1"/>
      <c r="T40" s="1"/>
      <c r="U40" s="1"/>
      <c r="V40" s="1"/>
      <c r="W40" s="1"/>
      <c r="X40" s="1"/>
      <c r="Y40" s="1"/>
      <c r="Z40" s="1"/>
      <c r="AA40" s="1"/>
    </row>
    <row r="41" ht="15.75" customHeight="1">
      <c r="A41" s="53"/>
      <c r="B41" s="53"/>
      <c r="C41" s="53"/>
      <c r="D41" s="53"/>
      <c r="E41" s="53"/>
      <c r="F41" s="53"/>
      <c r="G41" s="53"/>
      <c r="H41" s="53"/>
      <c r="I41" s="53"/>
      <c r="J41" s="53"/>
      <c r="K41" s="1"/>
      <c r="L41" s="1"/>
      <c r="M41" s="1"/>
      <c r="N41" s="1"/>
      <c r="O41" s="1"/>
      <c r="P41" s="1"/>
      <c r="Q41" s="1"/>
      <c r="R41" s="1"/>
      <c r="S41" s="1"/>
      <c r="T41" s="1"/>
      <c r="U41" s="1"/>
      <c r="V41" s="1"/>
      <c r="W41" s="1"/>
      <c r="X41" s="1"/>
      <c r="Y41" s="1"/>
      <c r="Z41" s="1"/>
      <c r="AA41" s="1"/>
    </row>
    <row r="42" ht="15.75" customHeight="1">
      <c r="A42" s="53"/>
      <c r="B42" s="53"/>
      <c r="C42" s="53"/>
      <c r="D42" s="53"/>
      <c r="E42" s="53"/>
      <c r="F42" s="53"/>
      <c r="G42" s="53"/>
      <c r="H42" s="53"/>
      <c r="I42" s="53"/>
      <c r="J42" s="53"/>
      <c r="K42" s="1"/>
      <c r="L42" s="1"/>
      <c r="M42" s="1"/>
      <c r="N42" s="1"/>
      <c r="O42" s="1"/>
      <c r="P42" s="1"/>
      <c r="Q42" s="1"/>
      <c r="R42" s="1"/>
      <c r="S42" s="1"/>
      <c r="T42" s="1"/>
      <c r="U42" s="1"/>
      <c r="V42" s="1"/>
      <c r="W42" s="1"/>
      <c r="X42" s="1"/>
      <c r="Y42" s="1"/>
      <c r="Z42" s="1"/>
      <c r="AA42" s="1"/>
    </row>
    <row r="43" ht="15.75" customHeight="1">
      <c r="A43" s="53"/>
      <c r="B43" s="53"/>
      <c r="C43" s="53"/>
      <c r="D43" s="53"/>
      <c r="E43" s="53"/>
      <c r="F43" s="53"/>
      <c r="G43" s="53"/>
      <c r="H43" s="53"/>
      <c r="I43" s="53"/>
      <c r="J43" s="53"/>
      <c r="K43" s="1"/>
      <c r="L43" s="1"/>
      <c r="M43" s="1"/>
      <c r="N43" s="1"/>
      <c r="O43" s="1"/>
      <c r="P43" s="1"/>
      <c r="Q43" s="1"/>
      <c r="R43" s="1"/>
      <c r="S43" s="1"/>
      <c r="T43" s="1"/>
      <c r="U43" s="1"/>
      <c r="V43" s="1"/>
      <c r="W43" s="1"/>
      <c r="X43" s="1"/>
      <c r="Y43" s="1"/>
      <c r="Z43" s="1"/>
      <c r="AA43" s="1"/>
    </row>
    <row r="44" ht="15.75" customHeight="1">
      <c r="A44" s="53"/>
      <c r="B44" s="53"/>
      <c r="C44" s="53"/>
      <c r="D44" s="53"/>
      <c r="E44" s="53"/>
      <c r="F44" s="53"/>
      <c r="G44" s="53"/>
      <c r="H44" s="53"/>
      <c r="I44" s="53"/>
      <c r="J44" s="53"/>
      <c r="K44" s="1"/>
      <c r="L44" s="1"/>
      <c r="M44" s="1"/>
      <c r="N44" s="1"/>
      <c r="O44" s="1"/>
      <c r="P44" s="1"/>
      <c r="Q44" s="1"/>
      <c r="R44" s="1"/>
      <c r="S44" s="1"/>
      <c r="T44" s="1"/>
      <c r="U44" s="1"/>
      <c r="V44" s="1"/>
      <c r="W44" s="1"/>
      <c r="X44" s="1"/>
      <c r="Y44" s="1"/>
      <c r="Z44" s="1"/>
      <c r="AA44" s="1"/>
    </row>
    <row r="45" ht="15.75" customHeight="1">
      <c r="A45" s="53"/>
      <c r="B45" s="53"/>
      <c r="C45" s="53"/>
      <c r="D45" s="53"/>
      <c r="E45" s="53"/>
      <c r="F45" s="53"/>
      <c r="G45" s="53"/>
      <c r="H45" s="53"/>
      <c r="I45" s="53"/>
      <c r="J45" s="53"/>
      <c r="K45" s="1"/>
      <c r="L45" s="1"/>
      <c r="M45" s="1"/>
      <c r="N45" s="1"/>
      <c r="O45" s="1"/>
      <c r="P45" s="1"/>
      <c r="Q45" s="1"/>
      <c r="R45" s="1"/>
      <c r="S45" s="1"/>
      <c r="T45" s="1"/>
      <c r="U45" s="1"/>
      <c r="V45" s="1"/>
      <c r="W45" s="1"/>
      <c r="X45" s="1"/>
      <c r="Y45" s="1"/>
      <c r="Z45" s="1"/>
      <c r="AA45" s="1"/>
    </row>
    <row r="46" ht="15.75" customHeight="1">
      <c r="A46" s="53"/>
      <c r="B46" s="53"/>
      <c r="C46" s="53"/>
      <c r="D46" s="53"/>
      <c r="E46" s="53"/>
      <c r="F46" s="53"/>
      <c r="G46" s="53"/>
      <c r="H46" s="53"/>
      <c r="I46" s="53"/>
      <c r="J46" s="53"/>
      <c r="K46" s="1"/>
      <c r="L46" s="1"/>
      <c r="M46" s="1"/>
      <c r="N46" s="1"/>
      <c r="O46" s="1"/>
      <c r="P46" s="1"/>
      <c r="Q46" s="1"/>
      <c r="R46" s="1"/>
      <c r="S46" s="1"/>
      <c r="T46" s="1"/>
      <c r="U46" s="1"/>
      <c r="V46" s="1"/>
      <c r="W46" s="1"/>
      <c r="X46" s="1"/>
      <c r="Y46" s="1"/>
      <c r="Z46" s="1"/>
      <c r="AA46" s="1"/>
    </row>
    <row r="47" ht="15.75" customHeight="1">
      <c r="A47" s="53"/>
      <c r="B47" s="53"/>
      <c r="C47" s="53"/>
      <c r="D47" s="53"/>
      <c r="E47" s="53"/>
      <c r="F47" s="53"/>
      <c r="G47" s="53"/>
      <c r="H47" s="53"/>
      <c r="I47" s="53"/>
      <c r="J47" s="53"/>
      <c r="K47" s="1"/>
      <c r="L47" s="1"/>
      <c r="M47" s="1"/>
      <c r="N47" s="1"/>
      <c r="O47" s="1"/>
      <c r="P47" s="1"/>
      <c r="Q47" s="1"/>
      <c r="R47" s="1"/>
      <c r="S47" s="1"/>
      <c r="T47" s="1"/>
      <c r="U47" s="1"/>
      <c r="V47" s="1"/>
      <c r="W47" s="1"/>
      <c r="X47" s="1"/>
      <c r="Y47" s="1"/>
      <c r="Z47" s="1"/>
      <c r="AA47" s="1"/>
    </row>
    <row r="48" ht="15.75" customHeight="1">
      <c r="A48" s="53"/>
      <c r="B48" s="53"/>
      <c r="C48" s="53"/>
      <c r="D48" s="53"/>
      <c r="E48" s="53"/>
      <c r="F48" s="53"/>
      <c r="G48" s="53"/>
      <c r="H48" s="53"/>
      <c r="I48" s="53"/>
      <c r="J48" s="53"/>
      <c r="K48" s="1"/>
      <c r="L48" s="1"/>
      <c r="M48" s="1"/>
      <c r="N48" s="1"/>
      <c r="O48" s="1"/>
      <c r="P48" s="1"/>
      <c r="Q48" s="1"/>
      <c r="R48" s="1"/>
      <c r="S48" s="1"/>
      <c r="T48" s="1"/>
      <c r="U48" s="1"/>
      <c r="V48" s="1"/>
      <c r="W48" s="1"/>
      <c r="X48" s="1"/>
      <c r="Y48" s="1"/>
      <c r="Z48" s="1"/>
      <c r="AA48" s="1"/>
    </row>
    <row r="49" ht="15.75" customHeight="1">
      <c r="A49" s="53"/>
      <c r="B49" s="53"/>
      <c r="C49" s="53"/>
      <c r="D49" s="53"/>
      <c r="E49" s="53"/>
      <c r="F49" s="53"/>
      <c r="G49" s="53"/>
      <c r="H49" s="53"/>
      <c r="I49" s="53"/>
      <c r="J49" s="53"/>
      <c r="K49" s="1"/>
      <c r="L49" s="1"/>
      <c r="M49" s="1"/>
      <c r="N49" s="1"/>
      <c r="O49" s="1"/>
      <c r="P49" s="1"/>
      <c r="Q49" s="1"/>
      <c r="R49" s="1"/>
      <c r="S49" s="1"/>
      <c r="T49" s="1"/>
      <c r="U49" s="1"/>
      <c r="V49" s="1"/>
      <c r="W49" s="1"/>
      <c r="X49" s="1"/>
      <c r="Y49" s="1"/>
      <c r="Z49" s="1"/>
      <c r="AA49" s="1"/>
    </row>
    <row r="50" ht="15.75" customHeight="1">
      <c r="A50" s="53"/>
      <c r="B50" s="53"/>
      <c r="C50" s="53"/>
      <c r="D50" s="53"/>
      <c r="E50" s="53"/>
      <c r="F50" s="53"/>
      <c r="G50" s="53"/>
      <c r="H50" s="53"/>
      <c r="I50" s="53"/>
      <c r="J50" s="53"/>
      <c r="K50" s="1"/>
      <c r="L50" s="1"/>
      <c r="M50" s="1"/>
      <c r="N50" s="1"/>
      <c r="O50" s="1"/>
      <c r="P50" s="1"/>
      <c r="Q50" s="1"/>
      <c r="R50" s="1"/>
      <c r="S50" s="1"/>
      <c r="T50" s="1"/>
      <c r="U50" s="1"/>
      <c r="V50" s="1"/>
      <c r="W50" s="1"/>
      <c r="X50" s="1"/>
      <c r="Y50" s="1"/>
      <c r="Z50" s="1"/>
      <c r="AA50" s="1"/>
    </row>
    <row r="51" ht="15.75" customHeight="1">
      <c r="A51" s="53"/>
      <c r="B51" s="53"/>
      <c r="C51" s="53"/>
      <c r="D51" s="53"/>
      <c r="E51" s="53"/>
      <c r="F51" s="53"/>
      <c r="G51" s="53"/>
      <c r="H51" s="53"/>
      <c r="I51" s="53"/>
      <c r="J51" s="53"/>
      <c r="K51" s="1"/>
      <c r="L51" s="1"/>
      <c r="M51" s="1"/>
      <c r="N51" s="1"/>
      <c r="O51" s="1"/>
      <c r="P51" s="1"/>
      <c r="Q51" s="1"/>
      <c r="R51" s="1"/>
      <c r="S51" s="1"/>
      <c r="T51" s="1"/>
      <c r="U51" s="1"/>
      <c r="V51" s="1"/>
      <c r="W51" s="1"/>
      <c r="X51" s="1"/>
      <c r="Y51" s="1"/>
      <c r="Z51" s="1"/>
      <c r="AA51" s="1"/>
    </row>
    <row r="52" ht="15.75" customHeight="1">
      <c r="A52" s="53"/>
      <c r="B52" s="53"/>
      <c r="C52" s="53"/>
      <c r="D52" s="53"/>
      <c r="E52" s="53"/>
      <c r="F52" s="53"/>
      <c r="G52" s="53"/>
      <c r="H52" s="53"/>
      <c r="I52" s="53"/>
      <c r="J52" s="53"/>
      <c r="K52" s="1"/>
      <c r="L52" s="1"/>
      <c r="M52" s="1"/>
      <c r="N52" s="1"/>
      <c r="O52" s="1"/>
      <c r="P52" s="1"/>
      <c r="Q52" s="1"/>
      <c r="R52" s="1"/>
      <c r="S52" s="1"/>
      <c r="T52" s="1"/>
      <c r="U52" s="1"/>
      <c r="V52" s="1"/>
      <c r="W52" s="1"/>
      <c r="X52" s="1"/>
      <c r="Y52" s="1"/>
      <c r="Z52" s="1"/>
      <c r="AA52" s="1"/>
    </row>
    <row r="53" ht="15.75" customHeight="1">
      <c r="A53" s="53"/>
      <c r="B53" s="53"/>
      <c r="C53" s="53"/>
      <c r="D53" s="53"/>
      <c r="E53" s="53"/>
      <c r="F53" s="53"/>
      <c r="G53" s="53"/>
      <c r="H53" s="53"/>
      <c r="I53" s="53"/>
      <c r="J53" s="53"/>
      <c r="K53" s="1"/>
      <c r="L53" s="1"/>
      <c r="M53" s="1"/>
      <c r="N53" s="1"/>
      <c r="O53" s="1"/>
      <c r="P53" s="1"/>
      <c r="Q53" s="1"/>
      <c r="R53" s="1"/>
      <c r="S53" s="1"/>
      <c r="T53" s="1"/>
      <c r="U53" s="1"/>
      <c r="V53" s="1"/>
      <c r="W53" s="1"/>
      <c r="X53" s="1"/>
      <c r="Y53" s="1"/>
      <c r="Z53" s="1"/>
      <c r="AA53" s="1"/>
    </row>
    <row r="54" ht="15.75" customHeight="1">
      <c r="A54" s="53"/>
      <c r="B54" s="53"/>
      <c r="C54" s="53"/>
      <c r="D54" s="53"/>
      <c r="E54" s="53"/>
      <c r="F54" s="53"/>
      <c r="G54" s="53"/>
      <c r="H54" s="53"/>
      <c r="I54" s="53"/>
      <c r="J54" s="53"/>
      <c r="K54" s="1"/>
      <c r="L54" s="1"/>
      <c r="M54" s="1"/>
      <c r="N54" s="1"/>
      <c r="O54" s="1"/>
      <c r="P54" s="1"/>
      <c r="Q54" s="1"/>
      <c r="R54" s="1"/>
      <c r="S54" s="1"/>
      <c r="T54" s="1"/>
      <c r="U54" s="1"/>
      <c r="V54" s="1"/>
      <c r="W54" s="1"/>
      <c r="X54" s="1"/>
      <c r="Y54" s="1"/>
      <c r="Z54" s="1"/>
      <c r="AA54" s="1"/>
    </row>
    <row r="55" ht="15.75" customHeight="1">
      <c r="A55" s="53"/>
      <c r="B55" s="53"/>
      <c r="C55" s="53"/>
      <c r="D55" s="53"/>
      <c r="E55" s="53"/>
      <c r="F55" s="53"/>
      <c r="G55" s="53"/>
      <c r="H55" s="53"/>
      <c r="I55" s="53"/>
      <c r="J55" s="53"/>
      <c r="K55" s="1"/>
      <c r="L55" s="1"/>
      <c r="M55" s="1"/>
      <c r="N55" s="1"/>
      <c r="O55" s="1"/>
      <c r="P55" s="1"/>
      <c r="Q55" s="1"/>
      <c r="R55" s="1"/>
      <c r="S55" s="1"/>
      <c r="T55" s="1"/>
      <c r="U55" s="1"/>
      <c r="V55" s="1"/>
      <c r="W55" s="1"/>
      <c r="X55" s="1"/>
      <c r="Y55" s="1"/>
      <c r="Z55" s="1"/>
      <c r="AA55" s="1"/>
    </row>
    <row r="56" ht="15.75" customHeight="1">
      <c r="A56" s="53"/>
      <c r="B56" s="53"/>
      <c r="C56" s="53"/>
      <c r="D56" s="53"/>
      <c r="E56" s="53"/>
      <c r="F56" s="53"/>
      <c r="G56" s="53"/>
      <c r="H56" s="53"/>
      <c r="I56" s="53"/>
      <c r="J56" s="53"/>
      <c r="K56" s="1"/>
      <c r="L56" s="1"/>
      <c r="M56" s="1"/>
      <c r="N56" s="1"/>
      <c r="O56" s="1"/>
      <c r="P56" s="1"/>
      <c r="Q56" s="1"/>
      <c r="R56" s="1"/>
      <c r="S56" s="1"/>
      <c r="T56" s="1"/>
      <c r="U56" s="1"/>
      <c r="V56" s="1"/>
      <c r="W56" s="1"/>
      <c r="X56" s="1"/>
      <c r="Y56" s="1"/>
      <c r="Z56" s="1"/>
      <c r="AA56" s="1"/>
    </row>
    <row r="57" ht="15.75" customHeight="1">
      <c r="A57" s="53"/>
      <c r="B57" s="53"/>
      <c r="C57" s="53"/>
      <c r="D57" s="53"/>
      <c r="E57" s="53"/>
      <c r="F57" s="53"/>
      <c r="G57" s="53"/>
      <c r="H57" s="53"/>
      <c r="I57" s="53"/>
      <c r="J57" s="53"/>
      <c r="K57" s="1"/>
      <c r="L57" s="1"/>
      <c r="M57" s="1"/>
      <c r="N57" s="1"/>
      <c r="O57" s="1"/>
      <c r="P57" s="1"/>
      <c r="Q57" s="1"/>
      <c r="R57" s="1"/>
      <c r="S57" s="1"/>
      <c r="T57" s="1"/>
      <c r="U57" s="1"/>
      <c r="V57" s="1"/>
      <c r="W57" s="1"/>
      <c r="X57" s="1"/>
      <c r="Y57" s="1"/>
      <c r="Z57" s="1"/>
      <c r="AA57" s="1"/>
    </row>
    <row r="58" ht="15.75" customHeight="1">
      <c r="A58" s="53"/>
      <c r="B58" s="53"/>
      <c r="C58" s="53"/>
      <c r="D58" s="53"/>
      <c r="E58" s="53"/>
      <c r="F58" s="53"/>
      <c r="G58" s="53"/>
      <c r="H58" s="53"/>
      <c r="I58" s="53"/>
      <c r="J58" s="53"/>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4:G4"/>
    <mergeCell ref="A6:A7"/>
    <mergeCell ref="B6:B7"/>
    <mergeCell ref="C6:C7"/>
    <mergeCell ref="D6:D7"/>
    <mergeCell ref="E6:E7"/>
    <mergeCell ref="F6:F7"/>
    <mergeCell ref="G6:G7"/>
    <mergeCell ref="A1:J1"/>
    <mergeCell ref="A2:J2"/>
    <mergeCell ref="A3:J3"/>
    <mergeCell ref="H4:J4"/>
    <mergeCell ref="H5:H9"/>
    <mergeCell ref="I5:I9"/>
    <mergeCell ref="J5:J9"/>
  </mergeCells>
  <dataValidations>
    <dataValidation type="list" allowBlank="1" sqref="E5:E6 E8:E58">
      <formula1>"事務"</formula1>
    </dataValidation>
    <dataValidation type="list" allowBlank="1" showErrorMessage="1" sqref="H10:J58">
      <formula1>"済,未"</formula1>
    </dataValidation>
  </dataValidations>
  <hyperlinks>
    <hyperlink r:id="rId1" ref="G6"/>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showGridLines="0" workbookViewId="0">
      <pane ySplit="10.0" topLeftCell="A11" activePane="bottomLeft" state="frozen"/>
      <selection activeCell="B12" sqref="B12" pane="bottomLeft"/>
    </sheetView>
  </sheetViews>
  <sheetFormatPr customHeight="1" defaultColWidth="12.63" defaultRowHeight="15.0" outlineLevelCol="1"/>
  <cols>
    <col customWidth="1" min="1" max="1" width="11.0"/>
    <col customWidth="1" min="2" max="2" width="26.88"/>
    <col customWidth="1" min="3" max="3" width="18.5"/>
    <col customWidth="1" min="4" max="13" width="13.75"/>
    <col customWidth="1" hidden="1" min="14" max="26" width="13.75" outlineLevel="1"/>
    <col customWidth="1" min="27" max="27" width="11.0"/>
  </cols>
  <sheetData>
    <row r="1" ht="15.75" customHeight="1">
      <c r="A1" s="58" t="s">
        <v>120</v>
      </c>
      <c r="B1" s="59"/>
      <c r="C1" s="59"/>
      <c r="D1" s="59"/>
      <c r="E1" s="59"/>
      <c r="F1" s="59"/>
      <c r="G1" s="59"/>
      <c r="H1" s="59"/>
      <c r="I1" s="59"/>
      <c r="J1" s="59"/>
      <c r="K1" s="59"/>
      <c r="L1" s="59"/>
      <c r="M1" s="60" t="s">
        <v>121</v>
      </c>
      <c r="N1" s="60"/>
      <c r="O1" s="60"/>
      <c r="P1" s="60"/>
      <c r="Q1" s="60"/>
      <c r="R1" s="60"/>
      <c r="S1" s="60"/>
      <c r="T1" s="60"/>
      <c r="U1" s="60"/>
      <c r="V1" s="60"/>
      <c r="W1" s="60"/>
      <c r="X1" s="60"/>
      <c r="Y1" s="60"/>
      <c r="Z1" s="60"/>
      <c r="AA1" s="61"/>
    </row>
    <row r="2" ht="15.75" customHeight="1">
      <c r="A2" s="62"/>
      <c r="B2" s="63"/>
      <c r="C2" s="63"/>
      <c r="D2" s="63"/>
      <c r="E2" s="63"/>
      <c r="F2" s="63"/>
      <c r="G2" s="63"/>
      <c r="H2" s="63"/>
      <c r="I2" s="63"/>
      <c r="J2" s="63"/>
      <c r="K2" s="63"/>
      <c r="L2" s="63"/>
      <c r="M2" s="64" t="s">
        <v>122</v>
      </c>
      <c r="N2" s="64"/>
      <c r="O2" s="64"/>
      <c r="P2" s="64"/>
      <c r="Q2" s="64"/>
      <c r="R2" s="64"/>
      <c r="S2" s="64"/>
      <c r="T2" s="64"/>
      <c r="U2" s="64"/>
      <c r="V2" s="64"/>
      <c r="W2" s="64"/>
      <c r="X2" s="64"/>
      <c r="Y2" s="64"/>
      <c r="Z2" s="64"/>
      <c r="AA2" s="50"/>
    </row>
    <row r="3" ht="18.75" customHeight="1">
      <c r="A3" s="65" t="s">
        <v>123</v>
      </c>
      <c r="B3" s="66"/>
      <c r="C3" s="66"/>
      <c r="D3" s="66"/>
      <c r="E3" s="66"/>
      <c r="F3" s="66"/>
      <c r="G3" s="66"/>
      <c r="H3" s="66"/>
      <c r="I3" s="66"/>
      <c r="J3" s="66"/>
      <c r="K3" s="66"/>
      <c r="L3" s="66"/>
      <c r="M3" s="66"/>
      <c r="N3" s="66"/>
      <c r="O3" s="66"/>
      <c r="P3" s="66"/>
      <c r="Q3" s="66"/>
      <c r="R3" s="66"/>
      <c r="S3" s="66"/>
      <c r="T3" s="66"/>
      <c r="U3" s="66"/>
      <c r="V3" s="66"/>
      <c r="W3" s="66"/>
      <c r="X3" s="66"/>
      <c r="Y3" s="66"/>
      <c r="Z3" s="66"/>
      <c r="AA3" s="67"/>
    </row>
    <row r="4" ht="15.75" customHeight="1">
      <c r="A4" s="68" t="s">
        <v>124</v>
      </c>
      <c r="B4" s="69"/>
      <c r="C4" s="69"/>
      <c r="D4" s="69"/>
      <c r="E4" s="69"/>
      <c r="F4" s="69"/>
      <c r="G4" s="69"/>
      <c r="H4" s="69"/>
      <c r="I4" s="69"/>
      <c r="J4" s="69"/>
      <c r="K4" s="69"/>
      <c r="L4" s="69"/>
      <c r="M4" s="69"/>
      <c r="N4" s="69"/>
      <c r="O4" s="69"/>
      <c r="P4" s="69"/>
      <c r="Q4" s="69"/>
      <c r="R4" s="69"/>
      <c r="S4" s="69"/>
      <c r="T4" s="69"/>
      <c r="U4" s="69"/>
      <c r="V4" s="69"/>
      <c r="W4" s="69"/>
      <c r="X4" s="69"/>
      <c r="Y4" s="69"/>
      <c r="Z4" s="69"/>
      <c r="AA4" s="70"/>
    </row>
    <row r="5" ht="18.0" customHeight="1">
      <c r="A5" s="68" t="s">
        <v>125</v>
      </c>
      <c r="B5" s="69"/>
      <c r="C5" s="69"/>
      <c r="D5" s="69"/>
      <c r="E5" s="69"/>
      <c r="F5" s="69"/>
      <c r="G5" s="69"/>
      <c r="H5" s="69"/>
      <c r="I5" s="69"/>
      <c r="J5" s="69"/>
      <c r="K5" s="69"/>
      <c r="L5" s="69"/>
      <c r="M5" s="69"/>
      <c r="N5" s="69"/>
      <c r="O5" s="69"/>
      <c r="P5" s="69"/>
      <c r="Q5" s="69"/>
      <c r="R5" s="69"/>
      <c r="S5" s="69"/>
      <c r="T5" s="69"/>
      <c r="U5" s="69"/>
      <c r="V5" s="69"/>
      <c r="W5" s="69"/>
      <c r="X5" s="69"/>
      <c r="Y5" s="69"/>
      <c r="Z5" s="69"/>
      <c r="AA5" s="70"/>
    </row>
    <row r="6" ht="19.5" customHeight="1">
      <c r="A6" s="71" t="s">
        <v>126</v>
      </c>
      <c r="B6" s="72"/>
      <c r="C6" s="72"/>
      <c r="D6" s="72"/>
      <c r="E6" s="72"/>
      <c r="F6" s="72"/>
      <c r="G6" s="72"/>
      <c r="H6" s="72"/>
      <c r="I6" s="72"/>
      <c r="J6" s="72"/>
      <c r="K6" s="72"/>
      <c r="L6" s="72"/>
      <c r="M6" s="72"/>
      <c r="N6" s="72"/>
      <c r="O6" s="72"/>
      <c r="P6" s="72"/>
      <c r="Q6" s="72"/>
      <c r="R6" s="72"/>
      <c r="S6" s="72"/>
      <c r="T6" s="72"/>
      <c r="U6" s="72"/>
      <c r="V6" s="72"/>
      <c r="W6" s="72"/>
      <c r="X6" s="72"/>
      <c r="Y6" s="72"/>
      <c r="Z6" s="72"/>
      <c r="AA6" s="73"/>
    </row>
    <row r="7" ht="7.5" customHeight="1">
      <c r="A7" s="74"/>
      <c r="B7" s="1"/>
      <c r="C7" s="1"/>
      <c r="D7" s="1"/>
      <c r="E7" s="1"/>
      <c r="F7" s="1"/>
      <c r="G7" s="1"/>
      <c r="H7" s="1"/>
      <c r="I7" s="1"/>
      <c r="J7" s="1"/>
      <c r="K7" s="1"/>
      <c r="L7" s="1"/>
      <c r="M7" s="1"/>
      <c r="N7" s="1"/>
      <c r="O7" s="1"/>
      <c r="P7" s="1"/>
      <c r="Q7" s="1"/>
      <c r="R7" s="1"/>
      <c r="S7" s="1"/>
      <c r="T7" s="1"/>
      <c r="U7" s="1"/>
      <c r="V7" s="1"/>
      <c r="W7" s="1"/>
      <c r="X7" s="1"/>
      <c r="Y7" s="1"/>
      <c r="Z7" s="1"/>
      <c r="AA7" s="75"/>
    </row>
    <row r="8" ht="7.5" customHeight="1">
      <c r="A8" s="74"/>
      <c r="B8" s="1"/>
      <c r="C8" s="1"/>
      <c r="D8" s="76">
        <v>2.0</v>
      </c>
      <c r="E8" s="76">
        <v>3.0</v>
      </c>
      <c r="F8" s="76">
        <v>4.0</v>
      </c>
      <c r="G8" s="76">
        <v>5.0</v>
      </c>
      <c r="H8" s="76">
        <v>6.0</v>
      </c>
      <c r="I8" s="76">
        <v>7.0</v>
      </c>
      <c r="J8" s="76">
        <v>8.0</v>
      </c>
      <c r="K8" s="76">
        <v>9.0</v>
      </c>
      <c r="L8" s="76">
        <v>10.0</v>
      </c>
      <c r="M8" s="76">
        <v>11.0</v>
      </c>
      <c r="N8" s="1"/>
      <c r="O8" s="1"/>
      <c r="P8" s="1"/>
      <c r="Q8" s="1"/>
      <c r="R8" s="1"/>
      <c r="S8" s="1"/>
      <c r="T8" s="1"/>
      <c r="U8" s="1"/>
      <c r="V8" s="1"/>
      <c r="W8" s="1"/>
      <c r="X8" s="1"/>
      <c r="Y8" s="1"/>
      <c r="Z8" s="1"/>
      <c r="AA8" s="75"/>
    </row>
    <row r="9" ht="15.75" customHeight="1">
      <c r="A9" s="77" t="s">
        <v>127</v>
      </c>
      <c r="B9" s="78" t="s">
        <v>128</v>
      </c>
      <c r="C9" s="79" t="s">
        <v>129</v>
      </c>
      <c r="D9" s="77" t="s">
        <v>130</v>
      </c>
      <c r="E9" s="77" t="s">
        <v>130</v>
      </c>
      <c r="F9" s="77" t="s">
        <v>130</v>
      </c>
      <c r="G9" s="77" t="s">
        <v>130</v>
      </c>
      <c r="H9" s="77" t="s">
        <v>130</v>
      </c>
      <c r="I9" s="77" t="s">
        <v>130</v>
      </c>
      <c r="J9" s="77" t="s">
        <v>130</v>
      </c>
      <c r="K9" s="77" t="s">
        <v>130</v>
      </c>
      <c r="L9" s="77" t="s">
        <v>130</v>
      </c>
      <c r="M9" s="77" t="s">
        <v>130</v>
      </c>
      <c r="N9" s="77" t="s">
        <v>130</v>
      </c>
      <c r="O9" s="77" t="s">
        <v>130</v>
      </c>
      <c r="P9" s="77" t="s">
        <v>130</v>
      </c>
      <c r="Q9" s="77" t="s">
        <v>130</v>
      </c>
      <c r="R9" s="77" t="s">
        <v>130</v>
      </c>
      <c r="S9" s="77" t="s">
        <v>130</v>
      </c>
      <c r="T9" s="77" t="s">
        <v>130</v>
      </c>
      <c r="U9" s="77" t="s">
        <v>130</v>
      </c>
      <c r="V9" s="77" t="s">
        <v>130</v>
      </c>
      <c r="W9" s="77" t="s">
        <v>130</v>
      </c>
      <c r="X9" s="77" t="s">
        <v>130</v>
      </c>
      <c r="Y9" s="77" t="s">
        <v>130</v>
      </c>
      <c r="Z9" s="77" t="s">
        <v>130</v>
      </c>
      <c r="AA9" s="80" t="s">
        <v>131</v>
      </c>
    </row>
    <row r="10" ht="15.75" customHeight="1">
      <c r="A10" s="81" t="s">
        <v>132</v>
      </c>
      <c r="B10" s="81" t="s">
        <v>133</v>
      </c>
      <c r="C10" s="82" t="s">
        <v>62</v>
      </c>
      <c r="D10" s="83" t="s">
        <v>134</v>
      </c>
      <c r="E10" s="83" t="s">
        <v>135</v>
      </c>
      <c r="F10" s="83" t="s">
        <v>136</v>
      </c>
      <c r="G10" s="84"/>
      <c r="H10" s="84"/>
      <c r="I10" s="84"/>
      <c r="J10" s="84"/>
      <c r="K10" s="84"/>
      <c r="L10" s="84"/>
      <c r="M10" s="84"/>
      <c r="N10" s="84"/>
      <c r="O10" s="84"/>
      <c r="P10" s="84"/>
      <c r="Q10" s="84"/>
      <c r="R10" s="84"/>
      <c r="S10" s="84"/>
      <c r="T10" s="84"/>
      <c r="U10" s="84"/>
      <c r="V10" s="84"/>
      <c r="W10" s="84"/>
      <c r="X10" s="84"/>
      <c r="Y10" s="84"/>
      <c r="Z10" s="84"/>
      <c r="AA10" s="85" t="s">
        <v>137</v>
      </c>
    </row>
    <row r="11" ht="15.75" customHeight="1">
      <c r="A11" s="86">
        <v>1.0</v>
      </c>
      <c r="B11" s="87" t="s">
        <v>138</v>
      </c>
      <c r="C11" s="52" t="s">
        <v>62</v>
      </c>
      <c r="D11" s="55" t="s">
        <v>139</v>
      </c>
      <c r="E11" s="55" t="s">
        <v>140</v>
      </c>
      <c r="F11" s="55" t="s">
        <v>141</v>
      </c>
      <c r="G11" s="55"/>
      <c r="H11" s="53" t="str">
        <f>IFERROR(VLOOKUP($B11,'発話マスタ'!$A:$K,H$8,0),"")</f>
        <v/>
      </c>
      <c r="I11" s="53" t="str">
        <f>IFERROR(VLOOKUP($B11,'発話マスタ'!$A:$K,I$8,0),"")</f>
        <v/>
      </c>
      <c r="J11" s="53" t="str">
        <f>IFERROR(VLOOKUP($B11,'発話マスタ'!$A:$K,J$8,0),"")</f>
        <v/>
      </c>
      <c r="K11" s="53" t="str">
        <f>IFERROR(VLOOKUP($B11,'発話マスタ'!$A:$K,K$8,0),"")</f>
        <v/>
      </c>
      <c r="L11" s="53" t="str">
        <f>IFERROR(VLOOKUP($B11,'発話マスタ'!$A:$K,L$8,0),"")</f>
        <v/>
      </c>
      <c r="M11" s="53" t="str">
        <f>IFERROR(VLOOKUP($B11,'発話マスタ'!$A:$K,M$8,0),"")</f>
        <v/>
      </c>
      <c r="N11" s="53"/>
      <c r="O11" s="53"/>
      <c r="P11" s="53"/>
      <c r="Q11" s="53"/>
      <c r="R11" s="53"/>
      <c r="S11" s="53"/>
      <c r="T11" s="53"/>
      <c r="U11" s="53"/>
      <c r="V11" s="53"/>
      <c r="W11" s="53"/>
      <c r="X11" s="53"/>
      <c r="Y11" s="53"/>
      <c r="Z11" s="53"/>
      <c r="AA11" s="88"/>
    </row>
    <row r="12" ht="15.75" customHeight="1">
      <c r="A12" s="86">
        <v>2.0</v>
      </c>
      <c r="B12" s="87" t="s">
        <v>142</v>
      </c>
      <c r="C12" s="52" t="s">
        <v>62</v>
      </c>
      <c r="D12" s="55" t="s">
        <v>143</v>
      </c>
      <c r="E12" s="55" t="s">
        <v>144</v>
      </c>
      <c r="F12" s="55" t="s">
        <v>145</v>
      </c>
      <c r="G12" s="55"/>
      <c r="H12" s="53" t="str">
        <f>IFERROR(VLOOKUP($B12,'発話マスタ'!$A:$K,H$8,0),"")</f>
        <v/>
      </c>
      <c r="I12" s="53" t="str">
        <f>IFERROR(VLOOKUP($B12,'発話マスタ'!$A:$K,I$8,0),"")</f>
        <v/>
      </c>
      <c r="J12" s="53" t="str">
        <f>IFERROR(VLOOKUP($B12,'発話マスタ'!$A:$K,J$8,0),"")</f>
        <v/>
      </c>
      <c r="K12" s="53" t="str">
        <f>IFERROR(VLOOKUP($B12,'発話マスタ'!$A:$K,K$8,0),"")</f>
        <v/>
      </c>
      <c r="L12" s="53" t="str">
        <f>IFERROR(VLOOKUP($B12,'発話マスタ'!$A:$K,L$8,0),"")</f>
        <v/>
      </c>
      <c r="M12" s="53" t="str">
        <f>IFERROR(VLOOKUP($B12,'発話マスタ'!$A:$K,M$8,0),"")</f>
        <v/>
      </c>
      <c r="N12" s="53"/>
      <c r="O12" s="53"/>
      <c r="P12" s="53"/>
      <c r="Q12" s="53"/>
      <c r="R12" s="53"/>
      <c r="S12" s="53"/>
      <c r="T12" s="53"/>
      <c r="U12" s="53"/>
      <c r="V12" s="53"/>
      <c r="W12" s="53"/>
      <c r="X12" s="53"/>
      <c r="Y12" s="53"/>
      <c r="Z12" s="53"/>
      <c r="AA12" s="88"/>
    </row>
    <row r="13" ht="15.75" customHeight="1">
      <c r="A13" s="86">
        <v>3.0</v>
      </c>
      <c r="B13" s="87" t="s">
        <v>146</v>
      </c>
      <c r="C13" s="52" t="s">
        <v>62</v>
      </c>
      <c r="D13" s="55" t="s">
        <v>147</v>
      </c>
      <c r="E13" s="55" t="s">
        <v>148</v>
      </c>
      <c r="F13" s="55" t="s">
        <v>149</v>
      </c>
      <c r="G13" s="55" t="s">
        <v>150</v>
      </c>
      <c r="H13" s="53" t="str">
        <f>IFERROR(VLOOKUP($B13,'発話マスタ'!$A:$K,H$8,0),"")</f>
        <v/>
      </c>
      <c r="I13" s="53" t="str">
        <f>IFERROR(VLOOKUP($B13,'発話マスタ'!$A:$K,I$8,0),"")</f>
        <v/>
      </c>
      <c r="J13" s="53" t="str">
        <f>IFERROR(VLOOKUP($B13,'発話マスタ'!$A:$K,J$8,0),"")</f>
        <v/>
      </c>
      <c r="K13" s="53" t="str">
        <f>IFERROR(VLOOKUP($B13,'発話マスタ'!$A:$K,K$8,0),"")</f>
        <v/>
      </c>
      <c r="L13" s="53" t="str">
        <f>IFERROR(VLOOKUP($B13,'発話マスタ'!$A:$K,L$8,0),"")</f>
        <v/>
      </c>
      <c r="M13" s="53" t="str">
        <f>IFERROR(VLOOKUP($B13,'発話マスタ'!$A:$K,M$8,0),"")</f>
        <v/>
      </c>
      <c r="N13" s="53"/>
      <c r="O13" s="53"/>
      <c r="P13" s="53"/>
      <c r="Q13" s="53"/>
      <c r="R13" s="53"/>
      <c r="S13" s="53"/>
      <c r="T13" s="53"/>
      <c r="U13" s="53"/>
      <c r="V13" s="53"/>
      <c r="W13" s="53"/>
      <c r="X13" s="53"/>
      <c r="Y13" s="53"/>
      <c r="Z13" s="53"/>
      <c r="AA13" s="88"/>
    </row>
    <row r="14" ht="15.75" customHeight="1">
      <c r="A14" s="86">
        <v>4.0</v>
      </c>
      <c r="B14" s="87" t="s">
        <v>151</v>
      </c>
      <c r="C14" s="52" t="s">
        <v>62</v>
      </c>
      <c r="D14" s="55" t="s">
        <v>152</v>
      </c>
      <c r="E14" s="55" t="s">
        <v>153</v>
      </c>
      <c r="F14" s="55" t="s">
        <v>154</v>
      </c>
      <c r="G14" s="55"/>
      <c r="H14" s="53" t="str">
        <f>IFERROR(VLOOKUP($B14,'発話マスタ'!$A:$K,H$8,0),"")</f>
        <v/>
      </c>
      <c r="I14" s="53" t="str">
        <f>IFERROR(VLOOKUP($B14,'発話マスタ'!$A:$K,I$8,0),"")</f>
        <v/>
      </c>
      <c r="J14" s="53" t="str">
        <f>IFERROR(VLOOKUP($B14,'発話マスタ'!$A:$K,J$8,0),"")</f>
        <v/>
      </c>
      <c r="K14" s="53" t="str">
        <f>IFERROR(VLOOKUP($B14,'発話マスタ'!$A:$K,K$8,0),"")</f>
        <v/>
      </c>
      <c r="L14" s="53" t="str">
        <f>IFERROR(VLOOKUP($B14,'発話マスタ'!$A:$K,L$8,0),"")</f>
        <v/>
      </c>
      <c r="M14" s="53" t="str">
        <f>IFERROR(VLOOKUP($B14,'発話マスタ'!$A:$K,M$8,0),"")</f>
        <v/>
      </c>
      <c r="N14" s="53"/>
      <c r="O14" s="53"/>
      <c r="P14" s="53"/>
      <c r="Q14" s="53"/>
      <c r="R14" s="53"/>
      <c r="S14" s="53"/>
      <c r="T14" s="53"/>
      <c r="U14" s="53"/>
      <c r="V14" s="53"/>
      <c r="W14" s="53"/>
      <c r="X14" s="53"/>
      <c r="Y14" s="53"/>
      <c r="Z14" s="53"/>
      <c r="AA14" s="88"/>
    </row>
    <row r="15" ht="15.75" customHeight="1">
      <c r="A15" s="86">
        <v>5.0</v>
      </c>
      <c r="B15" s="87" t="s">
        <v>155</v>
      </c>
      <c r="C15" s="52" t="s">
        <v>62</v>
      </c>
      <c r="D15" s="55" t="s">
        <v>156</v>
      </c>
      <c r="E15" s="55" t="s">
        <v>157</v>
      </c>
      <c r="F15" s="55" t="s">
        <v>158</v>
      </c>
      <c r="G15" s="55" t="s">
        <v>159</v>
      </c>
      <c r="H15" s="55" t="s">
        <v>160</v>
      </c>
      <c r="I15" s="52" t="s">
        <v>161</v>
      </c>
      <c r="J15" s="53" t="str">
        <f>IFERROR(VLOOKUP($B15,'発話マスタ'!$A:$K,J$8,0),"")</f>
        <v/>
      </c>
      <c r="K15" s="53" t="str">
        <f>IFERROR(VLOOKUP($B15,'発話マスタ'!$A:$K,K$8,0),"")</f>
        <v/>
      </c>
      <c r="L15" s="53" t="str">
        <f>IFERROR(VLOOKUP($B15,'発話マスタ'!$A:$K,L$8,0),"")</f>
        <v/>
      </c>
      <c r="M15" s="53" t="str">
        <f>IFERROR(VLOOKUP($B15,'発話マスタ'!$A:$K,M$8,0),"")</f>
        <v/>
      </c>
      <c r="N15" s="53"/>
      <c r="O15" s="53"/>
      <c r="P15" s="53"/>
      <c r="Q15" s="53"/>
      <c r="R15" s="53"/>
      <c r="S15" s="53"/>
      <c r="T15" s="53"/>
      <c r="U15" s="53"/>
      <c r="V15" s="53"/>
      <c r="W15" s="53"/>
      <c r="X15" s="53"/>
      <c r="Y15" s="53"/>
      <c r="Z15" s="53"/>
      <c r="AA15" s="88"/>
    </row>
    <row r="16" ht="15.75" customHeight="1">
      <c r="A16" s="86">
        <v>6.0</v>
      </c>
      <c r="B16" s="87" t="s">
        <v>162</v>
      </c>
      <c r="C16" s="52" t="s">
        <v>62</v>
      </c>
      <c r="D16" s="55" t="s">
        <v>163</v>
      </c>
      <c r="E16" s="55" t="s">
        <v>164</v>
      </c>
      <c r="F16" s="55" t="s">
        <v>165</v>
      </c>
      <c r="G16" s="53" t="str">
        <f>IFERROR(VLOOKUP($B16,'発話マスタ'!$A:$K,G$8,0),"")</f>
        <v/>
      </c>
      <c r="H16" s="53" t="str">
        <f>IFERROR(VLOOKUP($B16,'発話マスタ'!$A:$K,H$8,0),"")</f>
        <v/>
      </c>
      <c r="I16" s="53" t="str">
        <f>IFERROR(VLOOKUP($B16,'発話マスタ'!$A:$K,I$8,0),"")</f>
        <v/>
      </c>
      <c r="J16" s="53" t="str">
        <f>IFERROR(VLOOKUP($B16,'発話マスタ'!$A:$K,J$8,0),"")</f>
        <v/>
      </c>
      <c r="K16" s="53" t="str">
        <f>IFERROR(VLOOKUP($B16,'発話マスタ'!$A:$K,K$8,0),"")</f>
        <v/>
      </c>
      <c r="L16" s="53" t="str">
        <f>IFERROR(VLOOKUP($B16,'発話マスタ'!$A:$K,L$8,0),"")</f>
        <v/>
      </c>
      <c r="M16" s="53" t="str">
        <f>IFERROR(VLOOKUP($B16,'発話マスタ'!$A:$K,M$8,0),"")</f>
        <v/>
      </c>
      <c r="N16" s="53"/>
      <c r="O16" s="53"/>
      <c r="P16" s="53"/>
      <c r="Q16" s="53"/>
      <c r="R16" s="53"/>
      <c r="S16" s="53"/>
      <c r="T16" s="53"/>
      <c r="U16" s="53"/>
      <c r="V16" s="53"/>
      <c r="W16" s="53"/>
      <c r="X16" s="53"/>
      <c r="Y16" s="53"/>
      <c r="Z16" s="53"/>
      <c r="AA16" s="88"/>
    </row>
    <row r="17" ht="15.75" customHeight="1">
      <c r="A17" s="86">
        <v>7.0</v>
      </c>
      <c r="B17" s="87" t="s">
        <v>166</v>
      </c>
      <c r="C17" s="52" t="s">
        <v>62</v>
      </c>
      <c r="D17" s="55" t="s">
        <v>167</v>
      </c>
      <c r="E17" s="55" t="s">
        <v>168</v>
      </c>
      <c r="F17" s="53" t="str">
        <f>IFERROR(VLOOKUP($B17,'発話マスタ'!$A:$K,F$8,0),"")</f>
        <v/>
      </c>
      <c r="G17" s="53" t="str">
        <f>IFERROR(VLOOKUP($B17,'発話マスタ'!$A:$K,G$8,0),"")</f>
        <v/>
      </c>
      <c r="H17" s="53" t="str">
        <f>IFERROR(VLOOKUP($B17,'発話マスタ'!$A:$K,H$8,0),"")</f>
        <v/>
      </c>
      <c r="I17" s="53" t="str">
        <f>IFERROR(VLOOKUP($B17,'発話マスタ'!$A:$K,I$8,0),"")</f>
        <v/>
      </c>
      <c r="J17" s="53" t="str">
        <f>IFERROR(VLOOKUP($B17,'発話マスタ'!$A:$K,J$8,0),"")</f>
        <v/>
      </c>
      <c r="K17" s="53" t="str">
        <f>IFERROR(VLOOKUP($B17,'発話マスタ'!$A:$K,K$8,0),"")</f>
        <v/>
      </c>
      <c r="L17" s="53" t="str">
        <f>IFERROR(VLOOKUP($B17,'発話マスタ'!$A:$K,L$8,0),"")</f>
        <v/>
      </c>
      <c r="M17" s="53" t="str">
        <f>IFERROR(VLOOKUP($B17,'発話マスタ'!$A:$K,M$8,0),"")</f>
        <v/>
      </c>
      <c r="N17" s="53"/>
      <c r="O17" s="53"/>
      <c r="P17" s="53"/>
      <c r="Q17" s="53"/>
      <c r="R17" s="53"/>
      <c r="S17" s="53"/>
      <c r="T17" s="53"/>
      <c r="U17" s="53"/>
      <c r="V17" s="53"/>
      <c r="W17" s="53"/>
      <c r="X17" s="53"/>
      <c r="Y17" s="53"/>
      <c r="Z17" s="53"/>
      <c r="AA17" s="88"/>
    </row>
    <row r="18" ht="15.75" customHeight="1">
      <c r="A18" s="86">
        <v>8.0</v>
      </c>
      <c r="B18" s="87" t="s">
        <v>169</v>
      </c>
      <c r="C18" s="52" t="s">
        <v>62</v>
      </c>
      <c r="D18" s="55" t="s">
        <v>170</v>
      </c>
      <c r="E18" s="53" t="str">
        <f>IFERROR(VLOOKUP($B18,'発話マスタ'!$A:$K,E$8,0),"")</f>
        <v/>
      </c>
      <c r="F18" s="53" t="str">
        <f>IFERROR(VLOOKUP($B18,'発話マスタ'!$A:$K,F$8,0),"")</f>
        <v/>
      </c>
      <c r="G18" s="53" t="str">
        <f>IFERROR(VLOOKUP($B18,'発話マスタ'!$A:$K,G$8,0),"")</f>
        <v/>
      </c>
      <c r="H18" s="53" t="str">
        <f>IFERROR(VLOOKUP($B18,'発話マスタ'!$A:$K,H$8,0),"")</f>
        <v/>
      </c>
      <c r="I18" s="53" t="str">
        <f>IFERROR(VLOOKUP($B18,'発話マスタ'!$A:$K,I$8,0),"")</f>
        <v/>
      </c>
      <c r="J18" s="53" t="str">
        <f>IFERROR(VLOOKUP($B18,'発話マスタ'!$A:$K,J$8,0),"")</f>
        <v/>
      </c>
      <c r="K18" s="53" t="str">
        <f>IFERROR(VLOOKUP($B18,'発話マスタ'!$A:$K,K$8,0),"")</f>
        <v/>
      </c>
      <c r="L18" s="53" t="str">
        <f>IFERROR(VLOOKUP($B18,'発話マスタ'!$A:$K,L$8,0),"")</f>
        <v/>
      </c>
      <c r="M18" s="53" t="str">
        <f>IFERROR(VLOOKUP($B18,'発話マスタ'!$A:$K,M$8,0),"")</f>
        <v/>
      </c>
      <c r="N18" s="53"/>
      <c r="O18" s="53"/>
      <c r="P18" s="53"/>
      <c r="Q18" s="53"/>
      <c r="R18" s="53"/>
      <c r="S18" s="53"/>
      <c r="T18" s="53"/>
      <c r="U18" s="53"/>
      <c r="V18" s="53"/>
      <c r="W18" s="53"/>
      <c r="X18" s="53"/>
      <c r="Y18" s="53"/>
      <c r="Z18" s="53"/>
      <c r="AA18" s="88"/>
    </row>
    <row r="19" ht="15.75" customHeight="1">
      <c r="A19" s="86">
        <v>9.0</v>
      </c>
      <c r="B19" s="87" t="s">
        <v>171</v>
      </c>
      <c r="C19" s="52" t="s">
        <v>62</v>
      </c>
      <c r="D19" s="55" t="s">
        <v>172</v>
      </c>
      <c r="E19" s="55" t="s">
        <v>173</v>
      </c>
      <c r="F19" s="53" t="str">
        <f>IFERROR(VLOOKUP($B19,'発話マスタ'!$A:$K,F$8,0),"")</f>
        <v/>
      </c>
      <c r="G19" s="53" t="str">
        <f>IFERROR(VLOOKUP($B19,'発話マスタ'!$A:$K,G$8,0),"")</f>
        <v/>
      </c>
      <c r="H19" s="53" t="str">
        <f>IFERROR(VLOOKUP($B19,'発話マスタ'!$A:$K,H$8,0),"")</f>
        <v/>
      </c>
      <c r="I19" s="53" t="str">
        <f>IFERROR(VLOOKUP($B19,'発話マスタ'!$A:$K,I$8,0),"")</f>
        <v/>
      </c>
      <c r="J19" s="53" t="str">
        <f>IFERROR(VLOOKUP($B19,'発話マスタ'!$A:$K,J$8,0),"")</f>
        <v/>
      </c>
      <c r="K19" s="53" t="str">
        <f>IFERROR(VLOOKUP($B19,'発話マスタ'!$A:$K,K$8,0),"")</f>
        <v/>
      </c>
      <c r="L19" s="53" t="str">
        <f>IFERROR(VLOOKUP($B19,'発話マスタ'!$A:$K,L$8,0),"")</f>
        <v/>
      </c>
      <c r="M19" s="53" t="str">
        <f>IFERROR(VLOOKUP($B19,'発話マスタ'!$A:$K,M$8,0),"")</f>
        <v/>
      </c>
      <c r="N19" s="53"/>
      <c r="O19" s="53"/>
      <c r="P19" s="53"/>
      <c r="Q19" s="53"/>
      <c r="R19" s="53"/>
      <c r="S19" s="53"/>
      <c r="T19" s="53"/>
      <c r="U19" s="53"/>
      <c r="V19" s="53"/>
      <c r="W19" s="53"/>
      <c r="X19" s="53"/>
      <c r="Y19" s="53"/>
      <c r="Z19" s="53"/>
      <c r="AA19" s="88"/>
    </row>
    <row r="20" ht="15.75" customHeight="1">
      <c r="A20" s="86">
        <v>10.0</v>
      </c>
      <c r="B20" s="87" t="s">
        <v>174</v>
      </c>
      <c r="C20" s="52" t="s">
        <v>62</v>
      </c>
      <c r="D20" s="55" t="s">
        <v>175</v>
      </c>
      <c r="E20" s="53" t="str">
        <f>IFERROR(VLOOKUP($B20,'発話マスタ'!$A:$K,E$8,0),"")</f>
        <v/>
      </c>
      <c r="F20" s="53" t="str">
        <f>IFERROR(VLOOKUP($B20,'発話マスタ'!$A:$K,F$8,0),"")</f>
        <v/>
      </c>
      <c r="G20" s="53" t="str">
        <f>IFERROR(VLOOKUP($B20,'発話マスタ'!$A:$K,G$8,0),"")</f>
        <v/>
      </c>
      <c r="H20" s="53" t="str">
        <f>IFERROR(VLOOKUP($B20,'発話マスタ'!$A:$K,H$8,0),"")</f>
        <v/>
      </c>
      <c r="I20" s="53" t="str">
        <f>IFERROR(VLOOKUP($B20,'発話マスタ'!$A:$K,I$8,0),"")</f>
        <v/>
      </c>
      <c r="J20" s="53" t="str">
        <f>IFERROR(VLOOKUP($B20,'発話マスタ'!$A:$K,J$8,0),"")</f>
        <v/>
      </c>
      <c r="K20" s="53" t="str">
        <f>IFERROR(VLOOKUP($B20,'発話マスタ'!$A:$K,K$8,0),"")</f>
        <v/>
      </c>
      <c r="L20" s="53" t="str">
        <f>IFERROR(VLOOKUP($B20,'発話マスタ'!$A:$K,L$8,0),"")</f>
        <v/>
      </c>
      <c r="M20" s="53" t="str">
        <f>IFERROR(VLOOKUP($B20,'発話マスタ'!$A:$K,M$8,0),"")</f>
        <v/>
      </c>
      <c r="N20" s="53"/>
      <c r="O20" s="53"/>
      <c r="P20" s="53"/>
      <c r="Q20" s="53"/>
      <c r="R20" s="53"/>
      <c r="S20" s="53"/>
      <c r="T20" s="53"/>
      <c r="U20" s="53"/>
      <c r="V20" s="53"/>
      <c r="W20" s="53"/>
      <c r="X20" s="53"/>
      <c r="Y20" s="53"/>
      <c r="Z20" s="53"/>
      <c r="AA20" s="88"/>
    </row>
    <row r="21" ht="15.75" customHeight="1">
      <c r="A21" s="86">
        <v>11.0</v>
      </c>
      <c r="B21" s="87" t="s">
        <v>176</v>
      </c>
      <c r="C21" s="52" t="s">
        <v>62</v>
      </c>
      <c r="D21" s="55" t="s">
        <v>177</v>
      </c>
      <c r="E21" s="55" t="s">
        <v>178</v>
      </c>
      <c r="F21" s="55" t="s">
        <v>179</v>
      </c>
      <c r="G21" s="55" t="s">
        <v>180</v>
      </c>
      <c r="H21" s="53" t="str">
        <f>IFERROR(VLOOKUP($B21,'発話マスタ'!$A:$K,H$8,0),"")</f>
        <v/>
      </c>
      <c r="I21" s="53" t="str">
        <f>IFERROR(VLOOKUP($B21,'発話マスタ'!$A:$K,I$8,0),"")</f>
        <v/>
      </c>
      <c r="J21" s="53" t="str">
        <f>IFERROR(VLOOKUP($B21,'発話マスタ'!$A:$K,J$8,0),"")</f>
        <v/>
      </c>
      <c r="K21" s="53" t="str">
        <f>IFERROR(VLOOKUP($B21,'発話マスタ'!$A:$K,K$8,0),"")</f>
        <v/>
      </c>
      <c r="L21" s="53" t="str">
        <f>IFERROR(VLOOKUP($B21,'発話マスタ'!$A:$K,L$8,0),"")</f>
        <v/>
      </c>
      <c r="M21" s="53" t="str">
        <f>IFERROR(VLOOKUP($B21,'発話マスタ'!$A:$K,M$8,0),"")</f>
        <v/>
      </c>
      <c r="N21" s="53"/>
      <c r="O21" s="53"/>
      <c r="P21" s="53"/>
      <c r="Q21" s="53"/>
      <c r="R21" s="53"/>
      <c r="S21" s="53"/>
      <c r="T21" s="53"/>
      <c r="U21" s="53"/>
      <c r="V21" s="53"/>
      <c r="W21" s="53"/>
      <c r="X21" s="53"/>
      <c r="Y21" s="53"/>
      <c r="Z21" s="53"/>
      <c r="AA21" s="88"/>
    </row>
    <row r="22" ht="15.75" customHeight="1">
      <c r="A22" s="86">
        <v>12.0</v>
      </c>
      <c r="B22" s="87" t="s">
        <v>181</v>
      </c>
      <c r="C22" s="52" t="s">
        <v>62</v>
      </c>
      <c r="D22" s="55" t="s">
        <v>182</v>
      </c>
      <c r="E22" s="55" t="s">
        <v>183</v>
      </c>
      <c r="F22" s="53" t="str">
        <f>IFERROR(VLOOKUP($B22,'発話マスタ'!$A:$K,F$8,0),"")</f>
        <v/>
      </c>
      <c r="G22" s="53" t="str">
        <f>IFERROR(VLOOKUP($B22,'発話マスタ'!$A:$K,G$8,0),"")</f>
        <v/>
      </c>
      <c r="H22" s="53" t="str">
        <f>IFERROR(VLOOKUP($B22,'発話マスタ'!$A:$K,H$8,0),"")</f>
        <v/>
      </c>
      <c r="I22" s="53" t="str">
        <f>IFERROR(VLOOKUP($B22,'発話マスタ'!$A:$K,I$8,0),"")</f>
        <v/>
      </c>
      <c r="J22" s="53" t="str">
        <f>IFERROR(VLOOKUP($B22,'発話マスタ'!$A:$K,J$8,0),"")</f>
        <v/>
      </c>
      <c r="K22" s="53" t="str">
        <f>IFERROR(VLOOKUP($B22,'発話マスタ'!$A:$K,K$8,0),"")</f>
        <v/>
      </c>
      <c r="L22" s="53" t="str">
        <f>IFERROR(VLOOKUP($B22,'発話マスタ'!$A:$K,L$8,0),"")</f>
        <v/>
      </c>
      <c r="M22" s="53" t="str">
        <f>IFERROR(VLOOKUP($B22,'発話マスタ'!$A:$K,M$8,0),"")</f>
        <v/>
      </c>
      <c r="N22" s="53"/>
      <c r="O22" s="53"/>
      <c r="P22" s="53"/>
      <c r="Q22" s="53"/>
      <c r="R22" s="53"/>
      <c r="S22" s="53"/>
      <c r="T22" s="53"/>
      <c r="U22" s="53"/>
      <c r="V22" s="53"/>
      <c r="W22" s="53"/>
      <c r="X22" s="53"/>
      <c r="Y22" s="53"/>
      <c r="Z22" s="53"/>
      <c r="AA22" s="88"/>
    </row>
    <row r="23" ht="15.75" customHeight="1">
      <c r="A23" s="86">
        <v>13.0</v>
      </c>
      <c r="B23" s="87" t="s">
        <v>184</v>
      </c>
      <c r="C23" s="52" t="s">
        <v>62</v>
      </c>
      <c r="D23" s="55" t="s">
        <v>185</v>
      </c>
      <c r="E23" s="53" t="str">
        <f>IFERROR(VLOOKUP($B23,'発話マスタ'!$A:$K,E$8,0),"")</f>
        <v/>
      </c>
      <c r="F23" s="53" t="str">
        <f>IFERROR(VLOOKUP($B23,'発話マスタ'!$A:$K,F$8,0),"")</f>
        <v/>
      </c>
      <c r="G23" s="53" t="str">
        <f>IFERROR(VLOOKUP($B23,'発話マスタ'!$A:$K,G$8,0),"")</f>
        <v/>
      </c>
      <c r="H23" s="53" t="str">
        <f>IFERROR(VLOOKUP($B23,'発話マスタ'!$A:$K,H$8,0),"")</f>
        <v/>
      </c>
      <c r="I23" s="53" t="str">
        <f>IFERROR(VLOOKUP($B23,'発話マスタ'!$A:$K,I$8,0),"")</f>
        <v/>
      </c>
      <c r="J23" s="53" t="str">
        <f>IFERROR(VLOOKUP($B23,'発話マスタ'!$A:$K,J$8,0),"")</f>
        <v/>
      </c>
      <c r="K23" s="53" t="str">
        <f>IFERROR(VLOOKUP($B23,'発話マスタ'!$A:$K,K$8,0),"")</f>
        <v/>
      </c>
      <c r="L23" s="53" t="str">
        <f>IFERROR(VLOOKUP($B23,'発話マスタ'!$A:$K,L$8,0),"")</f>
        <v/>
      </c>
      <c r="M23" s="53" t="str">
        <f>IFERROR(VLOOKUP($B23,'発話マスタ'!$A:$K,M$8,0),"")</f>
        <v/>
      </c>
      <c r="N23" s="53"/>
      <c r="O23" s="53"/>
      <c r="P23" s="53"/>
      <c r="Q23" s="53"/>
      <c r="R23" s="53"/>
      <c r="S23" s="53"/>
      <c r="T23" s="53"/>
      <c r="U23" s="53"/>
      <c r="V23" s="53"/>
      <c r="W23" s="53"/>
      <c r="X23" s="53"/>
      <c r="Y23" s="53"/>
      <c r="Z23" s="53"/>
      <c r="AA23" s="88"/>
    </row>
    <row r="24" ht="15.75" customHeight="1">
      <c r="A24" s="86">
        <v>14.0</v>
      </c>
      <c r="B24" s="87" t="s">
        <v>186</v>
      </c>
      <c r="C24" s="52" t="s">
        <v>62</v>
      </c>
      <c r="D24" s="53" t="str">
        <f>IFERROR(VLOOKUP($B24,'発話マスタ'!$A:$K,D$8,0),"")</f>
        <v/>
      </c>
      <c r="E24" s="53" t="str">
        <f>IFERROR(VLOOKUP($B24,'発話マスタ'!$A:$K,E$8,0),"")</f>
        <v/>
      </c>
      <c r="F24" s="53" t="str">
        <f>IFERROR(VLOOKUP($B24,'発話マスタ'!$A:$K,F$8,0),"")</f>
        <v/>
      </c>
      <c r="G24" s="53" t="str">
        <f>IFERROR(VLOOKUP($B24,'発話マスタ'!$A:$K,G$8,0),"")</f>
        <v/>
      </c>
      <c r="H24" s="53" t="str">
        <f>IFERROR(VLOOKUP($B24,'発話マスタ'!$A:$K,H$8,0),"")</f>
        <v/>
      </c>
      <c r="I24" s="53" t="str">
        <f>IFERROR(VLOOKUP($B24,'発話マスタ'!$A:$K,I$8,0),"")</f>
        <v/>
      </c>
      <c r="J24" s="53" t="str">
        <f>IFERROR(VLOOKUP($B24,'発話マスタ'!$A:$K,J$8,0),"")</f>
        <v/>
      </c>
      <c r="K24" s="53" t="str">
        <f>IFERROR(VLOOKUP($B24,'発話マスタ'!$A:$K,K$8,0),"")</f>
        <v/>
      </c>
      <c r="L24" s="53" t="str">
        <f>IFERROR(VLOOKUP($B24,'発話マスタ'!$A:$K,L$8,0),"")</f>
        <v/>
      </c>
      <c r="M24" s="53" t="str">
        <f>IFERROR(VLOOKUP($B24,'発話マスタ'!$A:$K,M$8,0),"")</f>
        <v/>
      </c>
      <c r="N24" s="53"/>
      <c r="O24" s="53"/>
      <c r="P24" s="53"/>
      <c r="Q24" s="53"/>
      <c r="R24" s="53"/>
      <c r="S24" s="53"/>
      <c r="T24" s="53"/>
      <c r="U24" s="53"/>
      <c r="V24" s="53"/>
      <c r="W24" s="53"/>
      <c r="X24" s="53"/>
      <c r="Y24" s="53"/>
      <c r="Z24" s="53"/>
      <c r="AA24" s="88"/>
    </row>
    <row r="25" ht="15.75" customHeight="1">
      <c r="A25" s="86">
        <v>15.0</v>
      </c>
      <c r="B25" s="87" t="s">
        <v>187</v>
      </c>
      <c r="C25" s="52" t="s">
        <v>62</v>
      </c>
      <c r="D25" s="55" t="s">
        <v>188</v>
      </c>
      <c r="E25" s="55" t="s">
        <v>189</v>
      </c>
      <c r="F25" s="53" t="str">
        <f>IFERROR(VLOOKUP($B25,'発話マスタ'!$A:$K,F$8,0),"")</f>
        <v/>
      </c>
      <c r="G25" s="53" t="str">
        <f>IFERROR(VLOOKUP($B25,'発話マスタ'!$A:$K,G$8,0),"")</f>
        <v/>
      </c>
      <c r="H25" s="53" t="str">
        <f>IFERROR(VLOOKUP($B25,'発話マスタ'!$A:$K,H$8,0),"")</f>
        <v/>
      </c>
      <c r="I25" s="53" t="str">
        <f>IFERROR(VLOOKUP($B25,'発話マスタ'!$A:$K,I$8,0),"")</f>
        <v/>
      </c>
      <c r="J25" s="53" t="str">
        <f>IFERROR(VLOOKUP($B25,'発話マスタ'!$A:$K,J$8,0),"")</f>
        <v/>
      </c>
      <c r="K25" s="53" t="str">
        <f>IFERROR(VLOOKUP($B25,'発話マスタ'!$A:$K,K$8,0),"")</f>
        <v/>
      </c>
      <c r="L25" s="53" t="str">
        <f>IFERROR(VLOOKUP($B25,'発話マスタ'!$A:$K,L$8,0),"")</f>
        <v/>
      </c>
      <c r="M25" s="53" t="str">
        <f>IFERROR(VLOOKUP($B25,'発話マスタ'!$A:$K,M$8,0),"")</f>
        <v/>
      </c>
      <c r="N25" s="53"/>
      <c r="O25" s="53"/>
      <c r="P25" s="53"/>
      <c r="Q25" s="53"/>
      <c r="R25" s="53"/>
      <c r="S25" s="53"/>
      <c r="T25" s="53"/>
      <c r="U25" s="53"/>
      <c r="V25" s="53"/>
      <c r="W25" s="53"/>
      <c r="X25" s="53"/>
      <c r="Y25" s="53"/>
      <c r="Z25" s="53"/>
      <c r="AA25" s="88"/>
    </row>
    <row r="26" ht="15.75" customHeight="1">
      <c r="A26" s="86">
        <v>16.0</v>
      </c>
      <c r="B26" s="87" t="s">
        <v>190</v>
      </c>
      <c r="C26" s="52" t="s">
        <v>62</v>
      </c>
      <c r="D26" s="55" t="s">
        <v>191</v>
      </c>
      <c r="E26" s="53" t="str">
        <f>IFERROR(VLOOKUP($B26,'発話マスタ'!$A:$K,E$8,0),"")</f>
        <v/>
      </c>
      <c r="F26" s="53" t="str">
        <f>IFERROR(VLOOKUP($B26,'発話マスタ'!$A:$K,F$8,0),"")</f>
        <v/>
      </c>
      <c r="G26" s="53" t="str">
        <f>IFERROR(VLOOKUP($B26,'発話マスタ'!$A:$K,G$8,0),"")</f>
        <v/>
      </c>
      <c r="H26" s="53" t="str">
        <f>IFERROR(VLOOKUP($B26,'発話マスタ'!$A:$K,H$8,0),"")</f>
        <v/>
      </c>
      <c r="I26" s="53" t="str">
        <f>IFERROR(VLOOKUP($B26,'発話マスタ'!$A:$K,I$8,0),"")</f>
        <v/>
      </c>
      <c r="J26" s="53" t="str">
        <f>IFERROR(VLOOKUP($B26,'発話マスタ'!$A:$K,J$8,0),"")</f>
        <v/>
      </c>
      <c r="K26" s="53" t="str">
        <f>IFERROR(VLOOKUP($B26,'発話マスタ'!$A:$K,K$8,0),"")</f>
        <v/>
      </c>
      <c r="L26" s="53" t="str">
        <f>IFERROR(VLOOKUP($B26,'発話マスタ'!$A:$K,L$8,0),"")</f>
        <v/>
      </c>
      <c r="M26" s="53" t="str">
        <f>IFERROR(VLOOKUP($B26,'発話マスタ'!$A:$K,M$8,0),"")</f>
        <v/>
      </c>
      <c r="N26" s="53"/>
      <c r="O26" s="53"/>
      <c r="P26" s="53"/>
      <c r="Q26" s="53"/>
      <c r="R26" s="53"/>
      <c r="S26" s="53"/>
      <c r="T26" s="53"/>
      <c r="U26" s="53"/>
      <c r="V26" s="53"/>
      <c r="W26" s="53"/>
      <c r="X26" s="53"/>
      <c r="Y26" s="53"/>
      <c r="Z26" s="53"/>
      <c r="AA26" s="88"/>
    </row>
    <row r="27" ht="15.75" customHeight="1">
      <c r="A27" s="86">
        <v>17.0</v>
      </c>
      <c r="B27" s="87" t="s">
        <v>192</v>
      </c>
      <c r="C27" s="52" t="s">
        <v>62</v>
      </c>
      <c r="D27" s="55" t="s">
        <v>193</v>
      </c>
      <c r="E27" s="55" t="s">
        <v>194</v>
      </c>
      <c r="F27" s="53" t="str">
        <f>IFERROR(VLOOKUP($B27,'発話マスタ'!$A:$K,F$8,0),"")</f>
        <v/>
      </c>
      <c r="G27" s="53" t="str">
        <f>IFERROR(VLOOKUP($B27,'発話マスタ'!$A:$K,G$8,0),"")</f>
        <v/>
      </c>
      <c r="H27" s="53" t="str">
        <f>IFERROR(VLOOKUP($B27,'発話マスタ'!$A:$K,H$8,0),"")</f>
        <v/>
      </c>
      <c r="I27" s="53" t="str">
        <f>IFERROR(VLOOKUP($B27,'発話マスタ'!$A:$K,I$8,0),"")</f>
        <v/>
      </c>
      <c r="J27" s="53" t="str">
        <f>IFERROR(VLOOKUP($B27,'発話マスタ'!$A:$K,J$8,0),"")</f>
        <v/>
      </c>
      <c r="K27" s="53" t="str">
        <f>IFERROR(VLOOKUP($B27,'発話マスタ'!$A:$K,K$8,0),"")</f>
        <v/>
      </c>
      <c r="L27" s="53" t="str">
        <f>IFERROR(VLOOKUP($B27,'発話マスタ'!$A:$K,L$8,0),"")</f>
        <v/>
      </c>
      <c r="M27" s="53" t="str">
        <f>IFERROR(VLOOKUP($B27,'発話マスタ'!$A:$K,M$8,0),"")</f>
        <v/>
      </c>
      <c r="N27" s="53"/>
      <c r="O27" s="53"/>
      <c r="P27" s="53"/>
      <c r="Q27" s="53"/>
      <c r="R27" s="53"/>
      <c r="S27" s="53"/>
      <c r="T27" s="53"/>
      <c r="U27" s="53"/>
      <c r="V27" s="53"/>
      <c r="W27" s="53"/>
      <c r="X27" s="53"/>
      <c r="Y27" s="53"/>
      <c r="Z27" s="53"/>
      <c r="AA27" s="88"/>
    </row>
    <row r="28" ht="15.75" customHeight="1">
      <c r="A28" s="86">
        <v>18.0</v>
      </c>
      <c r="B28" s="87" t="s">
        <v>195</v>
      </c>
      <c r="C28" s="52" t="s">
        <v>62</v>
      </c>
      <c r="D28" s="55" t="s">
        <v>196</v>
      </c>
      <c r="E28" s="53" t="str">
        <f>IFERROR(VLOOKUP($B28,'発話マスタ'!$A:$K,E$8,0),"")</f>
        <v/>
      </c>
      <c r="F28" s="53" t="str">
        <f>IFERROR(VLOOKUP($B28,'発話マスタ'!$A:$K,F$8,0),"")</f>
        <v/>
      </c>
      <c r="G28" s="53" t="str">
        <f>IFERROR(VLOOKUP($B28,'発話マスタ'!$A:$K,G$8,0),"")</f>
        <v/>
      </c>
      <c r="H28" s="53" t="str">
        <f>IFERROR(VLOOKUP($B28,'発話マスタ'!$A:$K,H$8,0),"")</f>
        <v/>
      </c>
      <c r="I28" s="53" t="str">
        <f>IFERROR(VLOOKUP($B28,'発話マスタ'!$A:$K,I$8,0),"")</f>
        <v/>
      </c>
      <c r="J28" s="53" t="str">
        <f>IFERROR(VLOOKUP($B28,'発話マスタ'!$A:$K,J$8,0),"")</f>
        <v/>
      </c>
      <c r="K28" s="53" t="str">
        <f>IFERROR(VLOOKUP($B28,'発話マスタ'!$A:$K,K$8,0),"")</f>
        <v/>
      </c>
      <c r="L28" s="53" t="str">
        <f>IFERROR(VLOOKUP($B28,'発話マスタ'!$A:$K,L$8,0),"")</f>
        <v/>
      </c>
      <c r="M28" s="53" t="str">
        <f>IFERROR(VLOOKUP($B28,'発話マスタ'!$A:$K,M$8,0),"")</f>
        <v/>
      </c>
      <c r="N28" s="53"/>
      <c r="O28" s="53"/>
      <c r="P28" s="53"/>
      <c r="Q28" s="53"/>
      <c r="R28" s="53"/>
      <c r="S28" s="53"/>
      <c r="T28" s="53"/>
      <c r="U28" s="53"/>
      <c r="V28" s="53"/>
      <c r="W28" s="53"/>
      <c r="X28" s="53"/>
      <c r="Y28" s="53"/>
      <c r="Z28" s="53"/>
      <c r="AA28" s="88"/>
    </row>
    <row r="29" ht="15.75" customHeight="1">
      <c r="A29" s="86">
        <v>19.0</v>
      </c>
      <c r="B29" s="87" t="s">
        <v>197</v>
      </c>
      <c r="C29" s="52" t="s">
        <v>62</v>
      </c>
      <c r="D29" s="55" t="s">
        <v>198</v>
      </c>
      <c r="E29" s="53" t="str">
        <f>IFERROR(VLOOKUP($B29,'発話マスタ'!$A:$K,E$8,0),"")</f>
        <v/>
      </c>
      <c r="F29" s="53" t="str">
        <f>IFERROR(VLOOKUP($B29,'発話マスタ'!$A:$K,F$8,0),"")</f>
        <v/>
      </c>
      <c r="G29" s="53" t="str">
        <f>IFERROR(VLOOKUP($B29,'発話マスタ'!$A:$K,G$8,0),"")</f>
        <v/>
      </c>
      <c r="H29" s="53" t="str">
        <f>IFERROR(VLOOKUP($B29,'発話マスタ'!$A:$K,H$8,0),"")</f>
        <v/>
      </c>
      <c r="I29" s="53" t="str">
        <f>IFERROR(VLOOKUP($B29,'発話マスタ'!$A:$K,I$8,0),"")</f>
        <v/>
      </c>
      <c r="J29" s="53" t="str">
        <f>IFERROR(VLOOKUP($B29,'発話マスタ'!$A:$K,J$8,0),"")</f>
        <v/>
      </c>
      <c r="K29" s="53" t="str">
        <f>IFERROR(VLOOKUP($B29,'発話マスタ'!$A:$K,K$8,0),"")</f>
        <v/>
      </c>
      <c r="L29" s="53" t="str">
        <f>IFERROR(VLOOKUP($B29,'発話マスタ'!$A:$K,L$8,0),"")</f>
        <v/>
      </c>
      <c r="M29" s="53" t="str">
        <f>IFERROR(VLOOKUP($B29,'発話マスタ'!$A:$K,M$8,0),"")</f>
        <v/>
      </c>
      <c r="N29" s="53"/>
      <c r="O29" s="53"/>
      <c r="P29" s="53"/>
      <c r="Q29" s="53"/>
      <c r="R29" s="53"/>
      <c r="S29" s="53"/>
      <c r="T29" s="53"/>
      <c r="U29" s="53"/>
      <c r="V29" s="53"/>
      <c r="W29" s="53"/>
      <c r="X29" s="53"/>
      <c r="Y29" s="53"/>
      <c r="Z29" s="53"/>
      <c r="AA29" s="88"/>
    </row>
    <row r="30" ht="15.75" customHeight="1">
      <c r="A30" s="86">
        <v>20.0</v>
      </c>
      <c r="B30" s="87" t="s">
        <v>199</v>
      </c>
      <c r="C30" s="52" t="s">
        <v>62</v>
      </c>
      <c r="D30" s="55" t="s">
        <v>200</v>
      </c>
      <c r="E30" s="53" t="str">
        <f>IFERROR(VLOOKUP($B30,'発話マスタ'!$A:$K,E$8,0),"")</f>
        <v/>
      </c>
      <c r="F30" s="53" t="str">
        <f>IFERROR(VLOOKUP($B30,'発話マスタ'!$A:$K,F$8,0),"")</f>
        <v/>
      </c>
      <c r="G30" s="53" t="str">
        <f>IFERROR(VLOOKUP($B30,'発話マスタ'!$A:$K,G$8,0),"")</f>
        <v/>
      </c>
      <c r="H30" s="53" t="str">
        <f>IFERROR(VLOOKUP($B30,'発話マスタ'!$A:$K,H$8,0),"")</f>
        <v/>
      </c>
      <c r="I30" s="53" t="str">
        <f>IFERROR(VLOOKUP($B30,'発話マスタ'!$A:$K,I$8,0),"")</f>
        <v/>
      </c>
      <c r="J30" s="53" t="str">
        <f>IFERROR(VLOOKUP($B30,'発話マスタ'!$A:$K,J$8,0),"")</f>
        <v/>
      </c>
      <c r="K30" s="53" t="str">
        <f>IFERROR(VLOOKUP($B30,'発話マスタ'!$A:$K,K$8,0),"")</f>
        <v/>
      </c>
      <c r="L30" s="53" t="str">
        <f>IFERROR(VLOOKUP($B30,'発話マスタ'!$A:$K,L$8,0),"")</f>
        <v/>
      </c>
      <c r="M30" s="53" t="str">
        <f>IFERROR(VLOOKUP($B30,'発話マスタ'!$A:$K,M$8,0),"")</f>
        <v/>
      </c>
      <c r="N30" s="53"/>
      <c r="O30" s="53"/>
      <c r="P30" s="53"/>
      <c r="Q30" s="53"/>
      <c r="R30" s="53"/>
      <c r="S30" s="53"/>
      <c r="T30" s="53"/>
      <c r="U30" s="53"/>
      <c r="V30" s="53"/>
      <c r="W30" s="53"/>
      <c r="X30" s="53"/>
      <c r="Y30" s="53"/>
      <c r="Z30" s="53"/>
      <c r="AA30" s="88"/>
    </row>
    <row r="31" ht="15.75" customHeight="1">
      <c r="A31" s="86">
        <v>21.0</v>
      </c>
      <c r="B31" s="87" t="s">
        <v>201</v>
      </c>
      <c r="C31" s="52" t="s">
        <v>62</v>
      </c>
      <c r="D31" s="55" t="s">
        <v>202</v>
      </c>
      <c r="E31" s="55" t="s">
        <v>203</v>
      </c>
      <c r="F31" s="55" t="s">
        <v>204</v>
      </c>
      <c r="G31" s="55" t="s">
        <v>205</v>
      </c>
      <c r="H31" s="53" t="str">
        <f>IFERROR(VLOOKUP($B31,'発話マスタ'!$A:$K,H$8,0),"")</f>
        <v/>
      </c>
      <c r="I31" s="53" t="str">
        <f>IFERROR(VLOOKUP($B31,'発話マスタ'!$A:$K,I$8,0),"")</f>
        <v/>
      </c>
      <c r="J31" s="53" t="str">
        <f>IFERROR(VLOOKUP($B31,'発話マスタ'!$A:$K,J$8,0),"")</f>
        <v/>
      </c>
      <c r="K31" s="53" t="str">
        <f>IFERROR(VLOOKUP($B31,'発話マスタ'!$A:$K,K$8,0),"")</f>
        <v/>
      </c>
      <c r="L31" s="53" t="str">
        <f>IFERROR(VLOOKUP($B31,'発話マスタ'!$A:$K,L$8,0),"")</f>
        <v/>
      </c>
      <c r="M31" s="53" t="str">
        <f>IFERROR(VLOOKUP($B31,'発話マスタ'!$A:$K,M$8,0),"")</f>
        <v/>
      </c>
      <c r="N31" s="53"/>
      <c r="O31" s="53"/>
      <c r="P31" s="53"/>
      <c r="Q31" s="53"/>
      <c r="R31" s="53"/>
      <c r="S31" s="53"/>
      <c r="T31" s="53"/>
      <c r="U31" s="53"/>
      <c r="V31" s="53"/>
      <c r="W31" s="53"/>
      <c r="X31" s="53"/>
      <c r="Y31" s="53"/>
      <c r="Z31" s="53"/>
      <c r="AA31" s="88"/>
    </row>
    <row r="32" ht="15.75" customHeight="1">
      <c r="A32" s="86">
        <v>22.0</v>
      </c>
      <c r="B32" s="87" t="s">
        <v>206</v>
      </c>
      <c r="C32" s="52" t="s">
        <v>62</v>
      </c>
      <c r="D32" s="55" t="s">
        <v>207</v>
      </c>
      <c r="E32" s="53" t="str">
        <f>IFERROR(VLOOKUP($B32,'発話マスタ'!$A:$K,E$8,0),"")</f>
        <v/>
      </c>
      <c r="F32" s="53" t="str">
        <f>IFERROR(VLOOKUP($B32,'発話マスタ'!$A:$K,F$8,0),"")</f>
        <v/>
      </c>
      <c r="G32" s="53" t="str">
        <f>IFERROR(VLOOKUP($B32,'発話マスタ'!$A:$K,G$8,0),"")</f>
        <v/>
      </c>
      <c r="H32" s="53" t="str">
        <f>IFERROR(VLOOKUP($B32,'発話マスタ'!$A:$K,H$8,0),"")</f>
        <v/>
      </c>
      <c r="I32" s="53" t="str">
        <f>IFERROR(VLOOKUP($B32,'発話マスタ'!$A:$K,I$8,0),"")</f>
        <v/>
      </c>
      <c r="J32" s="53" t="str">
        <f>IFERROR(VLOOKUP($B32,'発話マスタ'!$A:$K,J$8,0),"")</f>
        <v/>
      </c>
      <c r="K32" s="53" t="str">
        <f>IFERROR(VLOOKUP($B32,'発話マスタ'!$A:$K,K$8,0),"")</f>
        <v/>
      </c>
      <c r="L32" s="53" t="str">
        <f>IFERROR(VLOOKUP($B32,'発話マスタ'!$A:$K,L$8,0),"")</f>
        <v/>
      </c>
      <c r="M32" s="53" t="str">
        <f>IFERROR(VLOOKUP($B32,'発話マスタ'!$A:$K,M$8,0),"")</f>
        <v/>
      </c>
      <c r="N32" s="53"/>
      <c r="O32" s="53"/>
      <c r="P32" s="53"/>
      <c r="Q32" s="53"/>
      <c r="R32" s="53"/>
      <c r="S32" s="53"/>
      <c r="T32" s="53"/>
      <c r="U32" s="53"/>
      <c r="V32" s="53"/>
      <c r="W32" s="53"/>
      <c r="X32" s="53"/>
      <c r="Y32" s="53"/>
      <c r="Z32" s="53"/>
      <c r="AA32" s="88"/>
    </row>
    <row r="33" ht="15.75" customHeight="1">
      <c r="A33" s="86">
        <v>23.0</v>
      </c>
      <c r="B33" s="87" t="s">
        <v>208</v>
      </c>
      <c r="C33" s="52" t="s">
        <v>62</v>
      </c>
      <c r="D33" s="55" t="s">
        <v>209</v>
      </c>
      <c r="E33" s="55" t="s">
        <v>210</v>
      </c>
      <c r="F33" s="53" t="str">
        <f>IFERROR(VLOOKUP($B33,'発話マスタ'!$A:$K,F$8,0),"")</f>
        <v/>
      </c>
      <c r="G33" s="53" t="str">
        <f>IFERROR(VLOOKUP($B33,'発話マスタ'!$A:$K,G$8,0),"")</f>
        <v/>
      </c>
      <c r="H33" s="53" t="str">
        <f>IFERROR(VLOOKUP($B33,'発話マスタ'!$A:$K,H$8,0),"")</f>
        <v/>
      </c>
      <c r="I33" s="53" t="str">
        <f>IFERROR(VLOOKUP($B33,'発話マスタ'!$A:$K,I$8,0),"")</f>
        <v/>
      </c>
      <c r="J33" s="53" t="str">
        <f>IFERROR(VLOOKUP($B33,'発話マスタ'!$A:$K,J$8,0),"")</f>
        <v/>
      </c>
      <c r="K33" s="53" t="str">
        <f>IFERROR(VLOOKUP($B33,'発話マスタ'!$A:$K,K$8,0),"")</f>
        <v/>
      </c>
      <c r="L33" s="53" t="str">
        <f>IFERROR(VLOOKUP($B33,'発話マスタ'!$A:$K,L$8,0),"")</f>
        <v/>
      </c>
      <c r="M33" s="53" t="str">
        <f>IFERROR(VLOOKUP($B33,'発話マスタ'!$A:$K,M$8,0),"")</f>
        <v/>
      </c>
      <c r="N33" s="53"/>
      <c r="O33" s="53"/>
      <c r="P33" s="53"/>
      <c r="Q33" s="53"/>
      <c r="R33" s="53"/>
      <c r="S33" s="53"/>
      <c r="T33" s="53"/>
      <c r="U33" s="53"/>
      <c r="V33" s="53"/>
      <c r="W33" s="53"/>
      <c r="X33" s="53"/>
      <c r="Y33" s="53"/>
      <c r="Z33" s="53"/>
      <c r="AA33" s="88"/>
    </row>
    <row r="34" ht="15.75" customHeight="1">
      <c r="A34" s="86">
        <v>24.0</v>
      </c>
      <c r="B34" s="87" t="s">
        <v>211</v>
      </c>
      <c r="C34" s="52" t="s">
        <v>62</v>
      </c>
      <c r="D34" s="55" t="s">
        <v>212</v>
      </c>
      <c r="E34" s="55" t="s">
        <v>213</v>
      </c>
      <c r="F34" s="55" t="s">
        <v>214</v>
      </c>
      <c r="G34" s="55" t="s">
        <v>215</v>
      </c>
      <c r="H34" s="53" t="str">
        <f>IFERROR(VLOOKUP($B34,'発話マスタ'!$A:$K,H$8,0),"")</f>
        <v/>
      </c>
      <c r="I34" s="53" t="str">
        <f>IFERROR(VLOOKUP($B34,'発話マスタ'!$A:$K,I$8,0),"")</f>
        <v/>
      </c>
      <c r="J34" s="53" t="str">
        <f>IFERROR(VLOOKUP($B34,'発話マスタ'!$A:$K,J$8,0),"")</f>
        <v/>
      </c>
      <c r="K34" s="53" t="str">
        <f>IFERROR(VLOOKUP($B34,'発話マスタ'!$A:$K,K$8,0),"")</f>
        <v/>
      </c>
      <c r="L34" s="53" t="str">
        <f>IFERROR(VLOOKUP($B34,'発話マスタ'!$A:$K,L$8,0),"")</f>
        <v/>
      </c>
      <c r="M34" s="53" t="str">
        <f>IFERROR(VLOOKUP($B34,'発話マスタ'!$A:$K,M$8,0),"")</f>
        <v/>
      </c>
      <c r="N34" s="53"/>
      <c r="O34" s="53"/>
      <c r="P34" s="53"/>
      <c r="Q34" s="53"/>
      <c r="R34" s="53"/>
      <c r="S34" s="53"/>
      <c r="T34" s="53"/>
      <c r="U34" s="53"/>
      <c r="V34" s="53"/>
      <c r="W34" s="53"/>
      <c r="X34" s="53"/>
      <c r="Y34" s="53"/>
      <c r="Z34" s="53"/>
      <c r="AA34" s="88"/>
    </row>
    <row r="35" ht="15.75" customHeight="1">
      <c r="A35" s="86">
        <v>25.0</v>
      </c>
      <c r="B35" s="87" t="s">
        <v>216</v>
      </c>
      <c r="C35" s="52" t="s">
        <v>62</v>
      </c>
      <c r="D35" s="55" t="s">
        <v>217</v>
      </c>
      <c r="E35" s="53" t="str">
        <f>IFERROR(VLOOKUP($B35,'発話マスタ'!$A:$K,E$8,0),"")</f>
        <v/>
      </c>
      <c r="F35" s="53" t="str">
        <f>IFERROR(VLOOKUP($B35,'発話マスタ'!$A:$K,F$8,0),"")</f>
        <v/>
      </c>
      <c r="G35" s="53" t="str">
        <f>IFERROR(VLOOKUP($B35,'発話マスタ'!$A:$K,G$8,0),"")</f>
        <v/>
      </c>
      <c r="H35" s="53" t="str">
        <f>IFERROR(VLOOKUP($B35,'発話マスタ'!$A:$K,H$8,0),"")</f>
        <v/>
      </c>
      <c r="I35" s="53" t="str">
        <f>IFERROR(VLOOKUP($B35,'発話マスタ'!$A:$K,I$8,0),"")</f>
        <v/>
      </c>
      <c r="J35" s="53" t="str">
        <f>IFERROR(VLOOKUP($B35,'発話マスタ'!$A:$K,J$8,0),"")</f>
        <v/>
      </c>
      <c r="K35" s="53" t="str">
        <f>IFERROR(VLOOKUP($B35,'発話マスタ'!$A:$K,K$8,0),"")</f>
        <v/>
      </c>
      <c r="L35" s="53" t="str">
        <f>IFERROR(VLOOKUP($B35,'発話マスタ'!$A:$K,L$8,0),"")</f>
        <v/>
      </c>
      <c r="M35" s="53" t="str">
        <f>IFERROR(VLOOKUP($B35,'発話マスタ'!$A:$K,M$8,0),"")</f>
        <v/>
      </c>
      <c r="N35" s="53"/>
      <c r="O35" s="53"/>
      <c r="P35" s="53"/>
      <c r="Q35" s="53"/>
      <c r="R35" s="53"/>
      <c r="S35" s="53"/>
      <c r="T35" s="53"/>
      <c r="U35" s="53"/>
      <c r="V35" s="53"/>
      <c r="W35" s="53"/>
      <c r="X35" s="53"/>
      <c r="Y35" s="53"/>
      <c r="Z35" s="53"/>
      <c r="AA35" s="88"/>
    </row>
    <row r="36" ht="15.75" customHeight="1">
      <c r="A36" s="86">
        <v>26.0</v>
      </c>
      <c r="B36" s="87" t="s">
        <v>218</v>
      </c>
      <c r="C36" s="52" t="s">
        <v>219</v>
      </c>
      <c r="D36" s="55" t="s">
        <v>220</v>
      </c>
      <c r="E36" s="53" t="str">
        <f>IFERROR(VLOOKUP($B36,'発話マスタ'!$A:$K,E$8,0),"")</f>
        <v/>
      </c>
      <c r="F36" s="53" t="str">
        <f>IFERROR(VLOOKUP($B36,'発話マスタ'!$A:$K,F$8,0),"")</f>
        <v/>
      </c>
      <c r="G36" s="53" t="str">
        <f>IFERROR(VLOOKUP($B36,'発話マスタ'!$A:$K,G$8,0),"")</f>
        <v/>
      </c>
      <c r="H36" s="53" t="str">
        <f>IFERROR(VLOOKUP($B36,'発話マスタ'!$A:$K,H$8,0),"")</f>
        <v/>
      </c>
      <c r="I36" s="53" t="str">
        <f>IFERROR(VLOOKUP($B36,'発話マスタ'!$A:$K,I$8,0),"")</f>
        <v/>
      </c>
      <c r="J36" s="53" t="str">
        <f>IFERROR(VLOOKUP($B36,'発話マスタ'!$A:$K,J$8,0),"")</f>
        <v/>
      </c>
      <c r="K36" s="53" t="str">
        <f>IFERROR(VLOOKUP($B36,'発話マスタ'!$A:$K,K$8,0),"")</f>
        <v/>
      </c>
      <c r="L36" s="53" t="str">
        <f>IFERROR(VLOOKUP($B36,'発話マスタ'!$A:$K,L$8,0),"")</f>
        <v/>
      </c>
      <c r="M36" s="53" t="str">
        <f>IFERROR(VLOOKUP($B36,'発話マスタ'!$A:$K,M$8,0),"")</f>
        <v/>
      </c>
      <c r="N36" s="53"/>
      <c r="O36" s="53"/>
      <c r="P36" s="53"/>
      <c r="Q36" s="53"/>
      <c r="R36" s="53"/>
      <c r="S36" s="53"/>
      <c r="T36" s="53"/>
      <c r="U36" s="53"/>
      <c r="V36" s="53"/>
      <c r="W36" s="53"/>
      <c r="X36" s="53"/>
      <c r="Y36" s="53"/>
      <c r="Z36" s="53"/>
      <c r="AA36" s="88"/>
    </row>
    <row r="37" ht="15.75" customHeight="1">
      <c r="A37" s="86">
        <v>27.0</v>
      </c>
      <c r="B37" s="89" t="s">
        <v>221</v>
      </c>
      <c r="C37" s="52" t="s">
        <v>62</v>
      </c>
      <c r="D37" s="52" t="s">
        <v>134</v>
      </c>
      <c r="E37" s="53" t="str">
        <f>IFERROR(VLOOKUP($B37,'発話マスタ'!$A:$K,E$8,0),"")</f>
        <v/>
      </c>
      <c r="F37" s="53" t="str">
        <f>IFERROR(VLOOKUP($B37,'発話マスタ'!$A:$K,F$8,0),"")</f>
        <v/>
      </c>
      <c r="G37" s="53" t="str">
        <f>IFERROR(VLOOKUP($B37,'発話マスタ'!$A:$K,G$8,0),"")</f>
        <v/>
      </c>
      <c r="H37" s="53" t="str">
        <f>IFERROR(VLOOKUP($B37,'発話マスタ'!$A:$K,H$8,0),"")</f>
        <v/>
      </c>
      <c r="I37" s="53" t="str">
        <f>IFERROR(VLOOKUP($B37,'発話マスタ'!$A:$K,I$8,0),"")</f>
        <v/>
      </c>
      <c r="J37" s="53" t="str">
        <f>IFERROR(VLOOKUP($B37,'発話マスタ'!$A:$K,J$8,0),"")</f>
        <v/>
      </c>
      <c r="K37" s="53" t="str">
        <f>IFERROR(VLOOKUP($B37,'発話マスタ'!$A:$K,K$8,0),"")</f>
        <v/>
      </c>
      <c r="L37" s="53" t="str">
        <f>IFERROR(VLOOKUP($B37,'発話マスタ'!$A:$K,L$8,0),"")</f>
        <v/>
      </c>
      <c r="M37" s="53" t="str">
        <f>IFERROR(VLOOKUP($B37,'発話マスタ'!$A:$K,M$8,0),"")</f>
        <v/>
      </c>
      <c r="N37" s="53"/>
      <c r="O37" s="53"/>
      <c r="P37" s="53"/>
      <c r="Q37" s="53"/>
      <c r="R37" s="53"/>
      <c r="S37" s="53"/>
      <c r="T37" s="53"/>
      <c r="U37" s="53"/>
      <c r="V37" s="53"/>
      <c r="W37" s="53"/>
      <c r="X37" s="53"/>
      <c r="Y37" s="53"/>
      <c r="Z37" s="53"/>
      <c r="AA37" s="88"/>
    </row>
    <row r="38" ht="15.75" customHeight="1">
      <c r="A38" s="86">
        <v>28.0</v>
      </c>
      <c r="B38" s="87"/>
      <c r="C38" s="53"/>
      <c r="D38" s="53" t="str">
        <f>IFERROR(VLOOKUP($B38,'発話マスタ'!$A:$K,D$8,0),"")</f>
        <v/>
      </c>
      <c r="E38" s="53" t="str">
        <f>IFERROR(VLOOKUP($B38,'発話マスタ'!$A:$K,E$8,0),"")</f>
        <v/>
      </c>
      <c r="F38" s="53" t="str">
        <f>IFERROR(VLOOKUP($B38,'発話マスタ'!$A:$K,F$8,0),"")</f>
        <v/>
      </c>
      <c r="G38" s="53" t="str">
        <f>IFERROR(VLOOKUP($B38,'発話マスタ'!$A:$K,G$8,0),"")</f>
        <v/>
      </c>
      <c r="H38" s="53" t="str">
        <f>IFERROR(VLOOKUP($B38,'発話マスタ'!$A:$K,H$8,0),"")</f>
        <v/>
      </c>
      <c r="I38" s="53" t="str">
        <f>IFERROR(VLOOKUP($B38,'発話マスタ'!$A:$K,I$8,0),"")</f>
        <v/>
      </c>
      <c r="J38" s="53" t="str">
        <f>IFERROR(VLOOKUP($B38,'発話マスタ'!$A:$K,J$8,0),"")</f>
        <v/>
      </c>
      <c r="K38" s="53" t="str">
        <f>IFERROR(VLOOKUP($B38,'発話マスタ'!$A:$K,K$8,0),"")</f>
        <v/>
      </c>
      <c r="L38" s="53" t="str">
        <f>IFERROR(VLOOKUP($B38,'発話マスタ'!$A:$K,L$8,0),"")</f>
        <v/>
      </c>
      <c r="M38" s="53" t="str">
        <f>IFERROR(VLOOKUP($B38,'発話マスタ'!$A:$K,M$8,0),"")</f>
        <v/>
      </c>
      <c r="N38" s="53"/>
      <c r="O38" s="53"/>
      <c r="P38" s="53"/>
      <c r="Q38" s="53"/>
      <c r="R38" s="53"/>
      <c r="S38" s="53"/>
      <c r="T38" s="53"/>
      <c r="U38" s="53"/>
      <c r="V38" s="53"/>
      <c r="W38" s="53"/>
      <c r="X38" s="53"/>
      <c r="Y38" s="53"/>
      <c r="Z38" s="53"/>
      <c r="AA38" s="88"/>
    </row>
    <row r="39" ht="15.75" customHeight="1">
      <c r="A39" s="86">
        <v>29.0</v>
      </c>
      <c r="B39" s="87"/>
      <c r="C39" s="53"/>
      <c r="D39" s="53" t="str">
        <f>IFERROR(VLOOKUP($B39,'発話マスタ'!$A:$K,D$8,0),"")</f>
        <v/>
      </c>
      <c r="E39" s="53" t="str">
        <f>IFERROR(VLOOKUP($B39,'発話マスタ'!$A:$K,E$8,0),"")</f>
        <v/>
      </c>
      <c r="F39" s="53" t="str">
        <f>IFERROR(VLOOKUP($B39,'発話マスタ'!$A:$K,F$8,0),"")</f>
        <v/>
      </c>
      <c r="G39" s="53" t="str">
        <f>IFERROR(VLOOKUP($B39,'発話マスタ'!$A:$K,G$8,0),"")</f>
        <v/>
      </c>
      <c r="H39" s="53" t="str">
        <f>IFERROR(VLOOKUP($B39,'発話マスタ'!$A:$K,H$8,0),"")</f>
        <v/>
      </c>
      <c r="I39" s="53" t="str">
        <f>IFERROR(VLOOKUP($B39,'発話マスタ'!$A:$K,I$8,0),"")</f>
        <v/>
      </c>
      <c r="J39" s="53" t="str">
        <f>IFERROR(VLOOKUP($B39,'発話マスタ'!$A:$K,J$8,0),"")</f>
        <v/>
      </c>
      <c r="K39" s="53" t="str">
        <f>IFERROR(VLOOKUP($B39,'発話マスタ'!$A:$K,K$8,0),"")</f>
        <v/>
      </c>
      <c r="L39" s="53" t="str">
        <f>IFERROR(VLOOKUP($B39,'発話マスタ'!$A:$K,L$8,0),"")</f>
        <v/>
      </c>
      <c r="M39" s="53" t="str">
        <f>IFERROR(VLOOKUP($B39,'発話マスタ'!$A:$K,M$8,0),"")</f>
        <v/>
      </c>
      <c r="N39" s="53"/>
      <c r="O39" s="53"/>
      <c r="P39" s="53"/>
      <c r="Q39" s="53"/>
      <c r="R39" s="53"/>
      <c r="S39" s="53"/>
      <c r="T39" s="53"/>
      <c r="U39" s="53"/>
      <c r="V39" s="53"/>
      <c r="W39" s="53"/>
      <c r="X39" s="53"/>
      <c r="Y39" s="53"/>
      <c r="Z39" s="53"/>
      <c r="AA39" s="88"/>
    </row>
    <row r="40" ht="15.75" customHeight="1">
      <c r="A40" s="86">
        <v>30.0</v>
      </c>
      <c r="B40" s="87"/>
      <c r="C40" s="53"/>
      <c r="D40" s="53" t="str">
        <f>IFERROR(VLOOKUP($B40,'発話マスタ'!$A:$K,D$8,0),"")</f>
        <v/>
      </c>
      <c r="E40" s="53" t="str">
        <f>IFERROR(VLOOKUP($B40,'発話マスタ'!$A:$K,E$8,0),"")</f>
        <v/>
      </c>
      <c r="F40" s="53" t="str">
        <f>IFERROR(VLOOKUP($B40,'発話マスタ'!$A:$K,F$8,0),"")</f>
        <v/>
      </c>
      <c r="G40" s="53" t="str">
        <f>IFERROR(VLOOKUP($B40,'発話マスタ'!$A:$K,G$8,0),"")</f>
        <v/>
      </c>
      <c r="H40" s="53" t="str">
        <f>IFERROR(VLOOKUP($B40,'発話マスタ'!$A:$K,H$8,0),"")</f>
        <v/>
      </c>
      <c r="I40" s="53" t="str">
        <f>IFERROR(VLOOKUP($B40,'発話マスタ'!$A:$K,I$8,0),"")</f>
        <v/>
      </c>
      <c r="J40" s="53" t="str">
        <f>IFERROR(VLOOKUP($B40,'発話マスタ'!$A:$K,J$8,0),"")</f>
        <v/>
      </c>
      <c r="K40" s="53" t="str">
        <f>IFERROR(VLOOKUP($B40,'発話マスタ'!$A:$K,K$8,0),"")</f>
        <v/>
      </c>
      <c r="L40" s="53" t="str">
        <f>IFERROR(VLOOKUP($B40,'発話マスタ'!$A:$K,L$8,0),"")</f>
        <v/>
      </c>
      <c r="M40" s="53" t="str">
        <f>IFERROR(VLOOKUP($B40,'発話マスタ'!$A:$K,M$8,0),"")</f>
        <v/>
      </c>
      <c r="N40" s="53"/>
      <c r="O40" s="53"/>
      <c r="P40" s="53"/>
      <c r="Q40" s="53"/>
      <c r="R40" s="53"/>
      <c r="S40" s="53"/>
      <c r="T40" s="53"/>
      <c r="U40" s="53"/>
      <c r="V40" s="53"/>
      <c r="W40" s="53"/>
      <c r="X40" s="53"/>
      <c r="Y40" s="53"/>
      <c r="Z40" s="53"/>
      <c r="AA40" s="88"/>
    </row>
    <row r="41" ht="15.75" customHeight="1">
      <c r="A41" s="86">
        <v>31.0</v>
      </c>
      <c r="B41" s="87"/>
      <c r="C41" s="53"/>
      <c r="D41" s="53" t="str">
        <f>IFERROR(VLOOKUP($B41,'発話マスタ'!$A:$K,D$8,0),"")</f>
        <v/>
      </c>
      <c r="E41" s="53" t="str">
        <f>IFERROR(VLOOKUP($B41,'発話マスタ'!$A:$K,E$8,0),"")</f>
        <v/>
      </c>
      <c r="F41" s="53" t="str">
        <f>IFERROR(VLOOKUP($B41,'発話マスタ'!$A:$K,F$8,0),"")</f>
        <v/>
      </c>
      <c r="G41" s="53" t="str">
        <f>IFERROR(VLOOKUP($B41,'発話マスタ'!$A:$K,G$8,0),"")</f>
        <v/>
      </c>
      <c r="H41" s="53" t="str">
        <f>IFERROR(VLOOKUP($B41,'発話マスタ'!$A:$K,H$8,0),"")</f>
        <v/>
      </c>
      <c r="I41" s="53" t="str">
        <f>IFERROR(VLOOKUP($B41,'発話マスタ'!$A:$K,I$8,0),"")</f>
        <v/>
      </c>
      <c r="J41" s="53" t="str">
        <f>IFERROR(VLOOKUP($B41,'発話マスタ'!$A:$K,J$8,0),"")</f>
        <v/>
      </c>
      <c r="K41" s="53" t="str">
        <f>IFERROR(VLOOKUP($B41,'発話マスタ'!$A:$K,K$8,0),"")</f>
        <v/>
      </c>
      <c r="L41" s="53" t="str">
        <f>IFERROR(VLOOKUP($B41,'発話マスタ'!$A:$K,L$8,0),"")</f>
        <v/>
      </c>
      <c r="M41" s="53" t="str">
        <f>IFERROR(VLOOKUP($B41,'発話マスタ'!$A:$K,M$8,0),"")</f>
        <v/>
      </c>
      <c r="N41" s="53"/>
      <c r="O41" s="53"/>
      <c r="P41" s="53"/>
      <c r="Q41" s="53"/>
      <c r="R41" s="53"/>
      <c r="S41" s="53"/>
      <c r="T41" s="53"/>
      <c r="U41" s="53"/>
      <c r="V41" s="53"/>
      <c r="W41" s="53"/>
      <c r="X41" s="53"/>
      <c r="Y41" s="53"/>
      <c r="Z41" s="53"/>
      <c r="AA41" s="88"/>
    </row>
    <row r="42" ht="15.75" customHeight="1">
      <c r="A42" s="86">
        <v>32.0</v>
      </c>
      <c r="B42" s="87"/>
      <c r="C42" s="53"/>
      <c r="D42" s="53" t="str">
        <f>IFERROR(VLOOKUP($B42,'発話マスタ'!$A:$K,D$8,0),"")</f>
        <v/>
      </c>
      <c r="E42" s="53" t="str">
        <f>IFERROR(VLOOKUP($B42,'発話マスタ'!$A:$K,E$8,0),"")</f>
        <v/>
      </c>
      <c r="F42" s="53" t="str">
        <f>IFERROR(VLOOKUP($B42,'発話マスタ'!$A:$K,F$8,0),"")</f>
        <v/>
      </c>
      <c r="G42" s="53" t="str">
        <f>IFERROR(VLOOKUP($B42,'発話マスタ'!$A:$K,G$8,0),"")</f>
        <v/>
      </c>
      <c r="H42" s="53" t="str">
        <f>IFERROR(VLOOKUP($B42,'発話マスタ'!$A:$K,H$8,0),"")</f>
        <v/>
      </c>
      <c r="I42" s="53" t="str">
        <f>IFERROR(VLOOKUP($B42,'発話マスタ'!$A:$K,I$8,0),"")</f>
        <v/>
      </c>
      <c r="J42" s="53" t="str">
        <f>IFERROR(VLOOKUP($B42,'発話マスタ'!$A:$K,J$8,0),"")</f>
        <v/>
      </c>
      <c r="K42" s="53" t="str">
        <f>IFERROR(VLOOKUP($B42,'発話マスタ'!$A:$K,K$8,0),"")</f>
        <v/>
      </c>
      <c r="L42" s="53" t="str">
        <f>IFERROR(VLOOKUP($B42,'発話マスタ'!$A:$K,L$8,0),"")</f>
        <v/>
      </c>
      <c r="M42" s="53" t="str">
        <f>IFERROR(VLOOKUP($B42,'発話マスタ'!$A:$K,M$8,0),"")</f>
        <v/>
      </c>
      <c r="N42" s="53"/>
      <c r="O42" s="53"/>
      <c r="P42" s="53"/>
      <c r="Q42" s="53"/>
      <c r="R42" s="53"/>
      <c r="S42" s="53"/>
      <c r="T42" s="53"/>
      <c r="U42" s="53"/>
      <c r="V42" s="53"/>
      <c r="W42" s="53"/>
      <c r="X42" s="53"/>
      <c r="Y42" s="53"/>
      <c r="Z42" s="53"/>
      <c r="AA42" s="88"/>
    </row>
    <row r="43" ht="15.75" customHeight="1">
      <c r="A43" s="86">
        <v>33.0</v>
      </c>
      <c r="B43" s="87"/>
      <c r="C43" s="53"/>
      <c r="D43" s="53" t="str">
        <f>IFERROR(VLOOKUP($B43,'発話マスタ'!$A:$K,D$8,0),"")</f>
        <v/>
      </c>
      <c r="E43" s="53" t="str">
        <f>IFERROR(VLOOKUP($B43,'発話マスタ'!$A:$K,E$8,0),"")</f>
        <v/>
      </c>
      <c r="F43" s="53" t="str">
        <f>IFERROR(VLOOKUP($B43,'発話マスタ'!$A:$K,F$8,0),"")</f>
        <v/>
      </c>
      <c r="G43" s="53" t="str">
        <f>IFERROR(VLOOKUP($B43,'発話マスタ'!$A:$K,G$8,0),"")</f>
        <v/>
      </c>
      <c r="H43" s="53" t="str">
        <f>IFERROR(VLOOKUP($B43,'発話マスタ'!$A:$K,H$8,0),"")</f>
        <v/>
      </c>
      <c r="I43" s="53" t="str">
        <f>IFERROR(VLOOKUP($B43,'発話マスタ'!$A:$K,I$8,0),"")</f>
        <v/>
      </c>
      <c r="J43" s="53" t="str">
        <f>IFERROR(VLOOKUP($B43,'発話マスタ'!$A:$K,J$8,0),"")</f>
        <v/>
      </c>
      <c r="K43" s="53" t="str">
        <f>IFERROR(VLOOKUP($B43,'発話マスタ'!$A:$K,K$8,0),"")</f>
        <v/>
      </c>
      <c r="L43" s="53" t="str">
        <f>IFERROR(VLOOKUP($B43,'発話マスタ'!$A:$K,L$8,0),"")</f>
        <v/>
      </c>
      <c r="M43" s="53" t="str">
        <f>IFERROR(VLOOKUP($B43,'発話マスタ'!$A:$K,M$8,0),"")</f>
        <v/>
      </c>
      <c r="N43" s="53"/>
      <c r="O43" s="53"/>
      <c r="P43" s="53"/>
      <c r="Q43" s="53"/>
      <c r="R43" s="53"/>
      <c r="S43" s="53"/>
      <c r="T43" s="53"/>
      <c r="U43" s="53"/>
      <c r="V43" s="53"/>
      <c r="W43" s="53"/>
      <c r="X43" s="53"/>
      <c r="Y43" s="53"/>
      <c r="Z43" s="53"/>
      <c r="AA43" s="88"/>
    </row>
    <row r="44" ht="15.75" customHeight="1">
      <c r="A44" s="86">
        <v>34.0</v>
      </c>
      <c r="B44" s="87"/>
      <c r="C44" s="53"/>
      <c r="D44" s="53" t="str">
        <f>IFERROR(VLOOKUP($B44,'発話マスタ'!$A:$K,D$8,0),"")</f>
        <v/>
      </c>
      <c r="E44" s="53" t="str">
        <f>IFERROR(VLOOKUP($B44,'発話マスタ'!$A:$K,E$8,0),"")</f>
        <v/>
      </c>
      <c r="F44" s="53" t="str">
        <f>IFERROR(VLOOKUP($B44,'発話マスタ'!$A:$K,F$8,0),"")</f>
        <v/>
      </c>
      <c r="G44" s="53" t="str">
        <f>IFERROR(VLOOKUP($B44,'発話マスタ'!$A:$K,G$8,0),"")</f>
        <v/>
      </c>
      <c r="H44" s="53" t="str">
        <f>IFERROR(VLOOKUP($B44,'発話マスタ'!$A:$K,H$8,0),"")</f>
        <v/>
      </c>
      <c r="I44" s="53" t="str">
        <f>IFERROR(VLOOKUP($B44,'発話マスタ'!$A:$K,I$8,0),"")</f>
        <v/>
      </c>
      <c r="J44" s="53" t="str">
        <f>IFERROR(VLOOKUP($B44,'発話マスタ'!$A:$K,J$8,0),"")</f>
        <v/>
      </c>
      <c r="K44" s="53" t="str">
        <f>IFERROR(VLOOKUP($B44,'発話マスタ'!$A:$K,K$8,0),"")</f>
        <v/>
      </c>
      <c r="L44" s="53" t="str">
        <f>IFERROR(VLOOKUP($B44,'発話マスタ'!$A:$K,L$8,0),"")</f>
        <v/>
      </c>
      <c r="M44" s="53" t="str">
        <f>IFERROR(VLOOKUP($B44,'発話マスタ'!$A:$K,M$8,0),"")</f>
        <v/>
      </c>
      <c r="N44" s="53"/>
      <c r="O44" s="53"/>
      <c r="P44" s="53"/>
      <c r="Q44" s="53"/>
      <c r="R44" s="53"/>
      <c r="S44" s="53"/>
      <c r="T44" s="53"/>
      <c r="U44" s="53"/>
      <c r="V44" s="53"/>
      <c r="W44" s="53"/>
      <c r="X44" s="53"/>
      <c r="Y44" s="53"/>
      <c r="Z44" s="53"/>
      <c r="AA44" s="88"/>
    </row>
    <row r="45" ht="15.75" customHeight="1">
      <c r="A45" s="86">
        <v>35.0</v>
      </c>
      <c r="B45" s="87"/>
      <c r="C45" s="53"/>
      <c r="D45" s="53" t="str">
        <f>IFERROR(VLOOKUP($B45,'発話マスタ'!$A:$K,D$8,0),"")</f>
        <v/>
      </c>
      <c r="E45" s="53" t="str">
        <f>IFERROR(VLOOKUP($B45,'発話マスタ'!$A:$K,E$8,0),"")</f>
        <v/>
      </c>
      <c r="F45" s="53" t="str">
        <f>IFERROR(VLOOKUP($B45,'発話マスタ'!$A:$K,F$8,0),"")</f>
        <v/>
      </c>
      <c r="G45" s="53" t="str">
        <f>IFERROR(VLOOKUP($B45,'発話マスタ'!$A:$K,G$8,0),"")</f>
        <v/>
      </c>
      <c r="H45" s="53" t="str">
        <f>IFERROR(VLOOKUP($B45,'発話マスタ'!$A:$K,H$8,0),"")</f>
        <v/>
      </c>
      <c r="I45" s="53" t="str">
        <f>IFERROR(VLOOKUP($B45,'発話マスタ'!$A:$K,I$8,0),"")</f>
        <v/>
      </c>
      <c r="J45" s="53" t="str">
        <f>IFERROR(VLOOKUP($B45,'発話マスタ'!$A:$K,J$8,0),"")</f>
        <v/>
      </c>
      <c r="K45" s="53" t="str">
        <f>IFERROR(VLOOKUP($B45,'発話マスタ'!$A:$K,K$8,0),"")</f>
        <v/>
      </c>
      <c r="L45" s="53" t="str">
        <f>IFERROR(VLOOKUP($B45,'発話マスタ'!$A:$K,L$8,0),"")</f>
        <v/>
      </c>
      <c r="M45" s="53" t="str">
        <f>IFERROR(VLOOKUP($B45,'発話マスタ'!$A:$K,M$8,0),"")</f>
        <v/>
      </c>
      <c r="N45" s="53"/>
      <c r="O45" s="53"/>
      <c r="P45" s="53"/>
      <c r="Q45" s="53"/>
      <c r="R45" s="53"/>
      <c r="S45" s="53"/>
      <c r="T45" s="53"/>
      <c r="U45" s="53"/>
      <c r="V45" s="53"/>
      <c r="W45" s="53"/>
      <c r="X45" s="53"/>
      <c r="Y45" s="53"/>
      <c r="Z45" s="53"/>
      <c r="AA45" s="88"/>
    </row>
    <row r="46" ht="15.75" customHeight="1">
      <c r="A46" s="86">
        <v>36.0</v>
      </c>
      <c r="B46" s="87"/>
      <c r="C46" s="53"/>
      <c r="D46" s="53" t="str">
        <f>IFERROR(VLOOKUP($B46,'発話マスタ'!$A:$K,D$8,0),"")</f>
        <v/>
      </c>
      <c r="E46" s="53" t="str">
        <f>IFERROR(VLOOKUP($B46,'発話マスタ'!$A:$K,E$8,0),"")</f>
        <v/>
      </c>
      <c r="F46" s="53" t="str">
        <f>IFERROR(VLOOKUP($B46,'発話マスタ'!$A:$K,F$8,0),"")</f>
        <v/>
      </c>
      <c r="G46" s="53" t="str">
        <f>IFERROR(VLOOKUP($B46,'発話マスタ'!$A:$K,G$8,0),"")</f>
        <v/>
      </c>
      <c r="H46" s="53" t="str">
        <f>IFERROR(VLOOKUP($B46,'発話マスタ'!$A:$K,H$8,0),"")</f>
        <v/>
      </c>
      <c r="I46" s="53" t="str">
        <f>IFERROR(VLOOKUP($B46,'発話マスタ'!$A:$K,I$8,0),"")</f>
        <v/>
      </c>
      <c r="J46" s="53" t="str">
        <f>IFERROR(VLOOKUP($B46,'発話マスタ'!$A:$K,J$8,0),"")</f>
        <v/>
      </c>
      <c r="K46" s="53" t="str">
        <f>IFERROR(VLOOKUP($B46,'発話マスタ'!$A:$K,K$8,0),"")</f>
        <v/>
      </c>
      <c r="L46" s="53" t="str">
        <f>IFERROR(VLOOKUP($B46,'発話マスタ'!$A:$K,L$8,0),"")</f>
        <v/>
      </c>
      <c r="M46" s="53" t="str">
        <f>IFERROR(VLOOKUP($B46,'発話マスタ'!$A:$K,M$8,0),"")</f>
        <v/>
      </c>
      <c r="N46" s="53"/>
      <c r="O46" s="53"/>
      <c r="P46" s="53"/>
      <c r="Q46" s="53"/>
      <c r="R46" s="53"/>
      <c r="S46" s="53"/>
      <c r="T46" s="53"/>
      <c r="U46" s="53"/>
      <c r="V46" s="53"/>
      <c r="W46" s="53"/>
      <c r="X46" s="53"/>
      <c r="Y46" s="53"/>
      <c r="Z46" s="53"/>
      <c r="AA46" s="88"/>
    </row>
    <row r="47" ht="15.75" customHeight="1">
      <c r="A47" s="86">
        <v>37.0</v>
      </c>
      <c r="B47" s="87"/>
      <c r="C47" s="53"/>
      <c r="D47" s="53" t="str">
        <f>IFERROR(VLOOKUP($B47,'発話マスタ'!$A:$K,D$8,0),"")</f>
        <v/>
      </c>
      <c r="E47" s="53" t="str">
        <f>IFERROR(VLOOKUP($B47,'発話マスタ'!$A:$K,E$8,0),"")</f>
        <v/>
      </c>
      <c r="F47" s="53" t="str">
        <f>IFERROR(VLOOKUP($B47,'発話マスタ'!$A:$K,F$8,0),"")</f>
        <v/>
      </c>
      <c r="G47" s="53" t="str">
        <f>IFERROR(VLOOKUP($B47,'発話マスタ'!$A:$K,G$8,0),"")</f>
        <v/>
      </c>
      <c r="H47" s="53" t="str">
        <f>IFERROR(VLOOKUP($B47,'発話マスタ'!$A:$K,H$8,0),"")</f>
        <v/>
      </c>
      <c r="I47" s="53" t="str">
        <f>IFERROR(VLOOKUP($B47,'発話マスタ'!$A:$K,I$8,0),"")</f>
        <v/>
      </c>
      <c r="J47" s="53" t="str">
        <f>IFERROR(VLOOKUP($B47,'発話マスタ'!$A:$K,J$8,0),"")</f>
        <v/>
      </c>
      <c r="K47" s="53" t="str">
        <f>IFERROR(VLOOKUP($B47,'発話マスタ'!$A:$K,K$8,0),"")</f>
        <v/>
      </c>
      <c r="L47" s="53" t="str">
        <f>IFERROR(VLOOKUP($B47,'発話マスタ'!$A:$K,L$8,0),"")</f>
        <v/>
      </c>
      <c r="M47" s="53" t="str">
        <f>IFERROR(VLOOKUP($B47,'発話マスタ'!$A:$K,M$8,0),"")</f>
        <v/>
      </c>
      <c r="N47" s="53"/>
      <c r="O47" s="53"/>
      <c r="P47" s="53"/>
      <c r="Q47" s="53"/>
      <c r="R47" s="53"/>
      <c r="S47" s="53"/>
      <c r="T47" s="53"/>
      <c r="U47" s="53"/>
      <c r="V47" s="53"/>
      <c r="W47" s="53"/>
      <c r="X47" s="53"/>
      <c r="Y47" s="53"/>
      <c r="Z47" s="53"/>
      <c r="AA47" s="88"/>
    </row>
    <row r="48" ht="15.75" customHeight="1">
      <c r="A48" s="86">
        <v>38.0</v>
      </c>
      <c r="B48" s="87"/>
      <c r="C48" s="53"/>
      <c r="D48" s="53" t="str">
        <f>IFERROR(VLOOKUP($B48,'発話マスタ'!$A:$K,D$8,0),"")</f>
        <v/>
      </c>
      <c r="E48" s="53" t="str">
        <f>IFERROR(VLOOKUP($B48,'発話マスタ'!$A:$K,E$8,0),"")</f>
        <v/>
      </c>
      <c r="F48" s="53" t="str">
        <f>IFERROR(VLOOKUP($B48,'発話マスタ'!$A:$K,F$8,0),"")</f>
        <v/>
      </c>
      <c r="G48" s="53" t="str">
        <f>IFERROR(VLOOKUP($B48,'発話マスタ'!$A:$K,G$8,0),"")</f>
        <v/>
      </c>
      <c r="H48" s="53" t="str">
        <f>IFERROR(VLOOKUP($B48,'発話マスタ'!$A:$K,H$8,0),"")</f>
        <v/>
      </c>
      <c r="I48" s="53" t="str">
        <f>IFERROR(VLOOKUP($B48,'発話マスタ'!$A:$K,I$8,0),"")</f>
        <v/>
      </c>
      <c r="J48" s="53" t="str">
        <f>IFERROR(VLOOKUP($B48,'発話マスタ'!$A:$K,J$8,0),"")</f>
        <v/>
      </c>
      <c r="K48" s="53" t="str">
        <f>IFERROR(VLOOKUP($B48,'発話マスタ'!$A:$K,K$8,0),"")</f>
        <v/>
      </c>
      <c r="L48" s="53" t="str">
        <f>IFERROR(VLOOKUP($B48,'発話マスタ'!$A:$K,L$8,0),"")</f>
        <v/>
      </c>
      <c r="M48" s="53" t="str">
        <f>IFERROR(VLOOKUP($B48,'発話マスタ'!$A:$K,M$8,0),"")</f>
        <v/>
      </c>
      <c r="N48" s="53"/>
      <c r="O48" s="53"/>
      <c r="P48" s="53"/>
      <c r="Q48" s="53"/>
      <c r="R48" s="53"/>
      <c r="S48" s="53"/>
      <c r="T48" s="53"/>
      <c r="U48" s="53"/>
      <c r="V48" s="53"/>
      <c r="W48" s="53"/>
      <c r="X48" s="53"/>
      <c r="Y48" s="53"/>
      <c r="Z48" s="53"/>
      <c r="AA48" s="88"/>
    </row>
    <row r="49" ht="15.75" customHeight="1">
      <c r="A49" s="86">
        <v>39.0</v>
      </c>
      <c r="B49" s="87"/>
      <c r="C49" s="53"/>
      <c r="D49" s="53" t="str">
        <f>IFERROR(VLOOKUP($B49,'発話マスタ'!$A:$K,D$8,0),"")</f>
        <v/>
      </c>
      <c r="E49" s="53" t="str">
        <f>IFERROR(VLOOKUP($B49,'発話マスタ'!$A:$K,E$8,0),"")</f>
        <v/>
      </c>
      <c r="F49" s="53" t="str">
        <f>IFERROR(VLOOKUP($B49,'発話マスタ'!$A:$K,F$8,0),"")</f>
        <v/>
      </c>
      <c r="G49" s="53" t="str">
        <f>IFERROR(VLOOKUP($B49,'発話マスタ'!$A:$K,G$8,0),"")</f>
        <v/>
      </c>
      <c r="H49" s="53" t="str">
        <f>IFERROR(VLOOKUP($B49,'発話マスタ'!$A:$K,H$8,0),"")</f>
        <v/>
      </c>
      <c r="I49" s="53" t="str">
        <f>IFERROR(VLOOKUP($B49,'発話マスタ'!$A:$K,I$8,0),"")</f>
        <v/>
      </c>
      <c r="J49" s="53" t="str">
        <f>IFERROR(VLOOKUP($B49,'発話マスタ'!$A:$K,J$8,0),"")</f>
        <v/>
      </c>
      <c r="K49" s="53" t="str">
        <f>IFERROR(VLOOKUP($B49,'発話マスタ'!$A:$K,K$8,0),"")</f>
        <v/>
      </c>
      <c r="L49" s="53" t="str">
        <f>IFERROR(VLOOKUP($B49,'発話マスタ'!$A:$K,L$8,0),"")</f>
        <v/>
      </c>
      <c r="M49" s="53" t="str">
        <f>IFERROR(VLOOKUP($B49,'発話マスタ'!$A:$K,M$8,0),"")</f>
        <v/>
      </c>
      <c r="N49" s="53"/>
      <c r="O49" s="53"/>
      <c r="P49" s="53"/>
      <c r="Q49" s="53"/>
      <c r="R49" s="53"/>
      <c r="S49" s="53"/>
      <c r="T49" s="53"/>
      <c r="U49" s="53"/>
      <c r="V49" s="53"/>
      <c r="W49" s="53"/>
      <c r="X49" s="53"/>
      <c r="Y49" s="53"/>
      <c r="Z49" s="53"/>
      <c r="AA49" s="88"/>
    </row>
    <row r="50" ht="15.75" customHeight="1">
      <c r="A50" s="86">
        <v>40.0</v>
      </c>
      <c r="B50" s="87"/>
      <c r="C50" s="53"/>
      <c r="D50" s="53" t="str">
        <f>IFERROR(VLOOKUP($B50,'発話マスタ'!$A:$K,D$8,0),"")</f>
        <v/>
      </c>
      <c r="E50" s="53" t="str">
        <f>IFERROR(VLOOKUP($B50,'発話マスタ'!$A:$K,E$8,0),"")</f>
        <v/>
      </c>
      <c r="F50" s="53" t="str">
        <f>IFERROR(VLOOKUP($B50,'発話マスタ'!$A:$K,F$8,0),"")</f>
        <v/>
      </c>
      <c r="G50" s="53" t="str">
        <f>IFERROR(VLOOKUP($B50,'発話マスタ'!$A:$K,G$8,0),"")</f>
        <v/>
      </c>
      <c r="H50" s="53" t="str">
        <f>IFERROR(VLOOKUP($B50,'発話マスタ'!$A:$K,H$8,0),"")</f>
        <v/>
      </c>
      <c r="I50" s="53" t="str">
        <f>IFERROR(VLOOKUP($B50,'発話マスタ'!$A:$K,I$8,0),"")</f>
        <v/>
      </c>
      <c r="J50" s="53" t="str">
        <f>IFERROR(VLOOKUP($B50,'発話マスタ'!$A:$K,J$8,0),"")</f>
        <v/>
      </c>
      <c r="K50" s="53" t="str">
        <f>IFERROR(VLOOKUP($B50,'発話マスタ'!$A:$K,K$8,0),"")</f>
        <v/>
      </c>
      <c r="L50" s="53" t="str">
        <f>IFERROR(VLOOKUP($B50,'発話マスタ'!$A:$K,L$8,0),"")</f>
        <v/>
      </c>
      <c r="M50" s="53" t="str">
        <f>IFERROR(VLOOKUP($B50,'発話マスタ'!$A:$K,M$8,0),"")</f>
        <v/>
      </c>
      <c r="N50" s="53"/>
      <c r="O50" s="53"/>
      <c r="P50" s="53"/>
      <c r="Q50" s="53"/>
      <c r="R50" s="53"/>
      <c r="S50" s="53"/>
      <c r="T50" s="53"/>
      <c r="U50" s="53"/>
      <c r="V50" s="53"/>
      <c r="W50" s="53"/>
      <c r="X50" s="53"/>
      <c r="Y50" s="53"/>
      <c r="Z50" s="53"/>
      <c r="AA50" s="88"/>
    </row>
    <row r="51" ht="15.75" customHeight="1">
      <c r="A51" s="86">
        <v>41.0</v>
      </c>
      <c r="B51" s="87"/>
      <c r="C51" s="53"/>
      <c r="D51" s="53" t="str">
        <f>IFERROR(VLOOKUP($B51,'発話マスタ'!$A:$K,D$8,0),"")</f>
        <v/>
      </c>
      <c r="E51" s="53" t="str">
        <f>IFERROR(VLOOKUP($B51,'発話マスタ'!$A:$K,E$8,0),"")</f>
        <v/>
      </c>
      <c r="F51" s="53" t="str">
        <f>IFERROR(VLOOKUP($B51,'発話マスタ'!$A:$K,F$8,0),"")</f>
        <v/>
      </c>
      <c r="G51" s="53" t="str">
        <f>IFERROR(VLOOKUP($B51,'発話マスタ'!$A:$K,G$8,0),"")</f>
        <v/>
      </c>
      <c r="H51" s="53" t="str">
        <f>IFERROR(VLOOKUP($B51,'発話マスタ'!$A:$K,H$8,0),"")</f>
        <v/>
      </c>
      <c r="I51" s="53" t="str">
        <f>IFERROR(VLOOKUP($B51,'発話マスタ'!$A:$K,I$8,0),"")</f>
        <v/>
      </c>
      <c r="J51" s="53" t="str">
        <f>IFERROR(VLOOKUP($B51,'発話マスタ'!$A:$K,J$8,0),"")</f>
        <v/>
      </c>
      <c r="K51" s="53" t="str">
        <f>IFERROR(VLOOKUP($B51,'発話マスタ'!$A:$K,K$8,0),"")</f>
        <v/>
      </c>
      <c r="L51" s="53" t="str">
        <f>IFERROR(VLOOKUP($B51,'発話マスタ'!$A:$K,L$8,0),"")</f>
        <v/>
      </c>
      <c r="M51" s="53" t="str">
        <f>IFERROR(VLOOKUP($B51,'発話マスタ'!$A:$K,M$8,0),"")</f>
        <v/>
      </c>
      <c r="N51" s="53"/>
      <c r="O51" s="53"/>
      <c r="P51" s="53"/>
      <c r="Q51" s="53"/>
      <c r="R51" s="53"/>
      <c r="S51" s="53"/>
      <c r="T51" s="53"/>
      <c r="U51" s="53"/>
      <c r="V51" s="53"/>
      <c r="W51" s="53"/>
      <c r="X51" s="53"/>
      <c r="Y51" s="53"/>
      <c r="Z51" s="53"/>
      <c r="AA51" s="88"/>
    </row>
    <row r="52" ht="15.75" customHeight="1">
      <c r="A52" s="86">
        <v>42.0</v>
      </c>
      <c r="B52" s="87"/>
      <c r="C52" s="53"/>
      <c r="D52" s="53" t="str">
        <f>IFERROR(VLOOKUP($B52,'発話マスタ'!$A:$K,D$8,0),"")</f>
        <v/>
      </c>
      <c r="E52" s="53" t="str">
        <f>IFERROR(VLOOKUP($B52,'発話マスタ'!$A:$K,E$8,0),"")</f>
        <v/>
      </c>
      <c r="F52" s="53" t="str">
        <f>IFERROR(VLOOKUP($B52,'発話マスタ'!$A:$K,F$8,0),"")</f>
        <v/>
      </c>
      <c r="G52" s="53" t="str">
        <f>IFERROR(VLOOKUP($B52,'発話マスタ'!$A:$K,G$8,0),"")</f>
        <v/>
      </c>
      <c r="H52" s="53" t="str">
        <f>IFERROR(VLOOKUP($B52,'発話マスタ'!$A:$K,H$8,0),"")</f>
        <v/>
      </c>
      <c r="I52" s="53" t="str">
        <f>IFERROR(VLOOKUP($B52,'発話マスタ'!$A:$K,I$8,0),"")</f>
        <v/>
      </c>
      <c r="J52" s="53" t="str">
        <f>IFERROR(VLOOKUP($B52,'発話マスタ'!$A:$K,J$8,0),"")</f>
        <v/>
      </c>
      <c r="K52" s="53" t="str">
        <f>IFERROR(VLOOKUP($B52,'発話マスタ'!$A:$K,K$8,0),"")</f>
        <v/>
      </c>
      <c r="L52" s="53" t="str">
        <f>IFERROR(VLOOKUP($B52,'発話マスタ'!$A:$K,L$8,0),"")</f>
        <v/>
      </c>
      <c r="M52" s="53" t="str">
        <f>IFERROR(VLOOKUP($B52,'発話マスタ'!$A:$K,M$8,0),"")</f>
        <v/>
      </c>
      <c r="N52" s="53"/>
      <c r="O52" s="53"/>
      <c r="P52" s="53"/>
      <c r="Q52" s="53"/>
      <c r="R52" s="53"/>
      <c r="S52" s="53"/>
      <c r="T52" s="53"/>
      <c r="U52" s="53"/>
      <c r="V52" s="53"/>
      <c r="W52" s="53"/>
      <c r="X52" s="53"/>
      <c r="Y52" s="53"/>
      <c r="Z52" s="53"/>
      <c r="AA52" s="88"/>
    </row>
    <row r="53" ht="15.75" customHeight="1">
      <c r="A53" s="86">
        <v>43.0</v>
      </c>
      <c r="B53" s="87"/>
      <c r="C53" s="53"/>
      <c r="D53" s="53" t="str">
        <f>IFERROR(VLOOKUP($B53,'発話マスタ'!$A:$K,D$8,0),"")</f>
        <v/>
      </c>
      <c r="E53" s="53" t="str">
        <f>IFERROR(VLOOKUP($B53,'発話マスタ'!$A:$K,E$8,0),"")</f>
        <v/>
      </c>
      <c r="F53" s="53" t="str">
        <f>IFERROR(VLOOKUP($B53,'発話マスタ'!$A:$K,F$8,0),"")</f>
        <v/>
      </c>
      <c r="G53" s="53" t="str">
        <f>IFERROR(VLOOKUP($B53,'発話マスタ'!$A:$K,G$8,0),"")</f>
        <v/>
      </c>
      <c r="H53" s="53" t="str">
        <f>IFERROR(VLOOKUP($B53,'発話マスタ'!$A:$K,H$8,0),"")</f>
        <v/>
      </c>
      <c r="I53" s="53" t="str">
        <f>IFERROR(VLOOKUP($B53,'発話マスタ'!$A:$K,I$8,0),"")</f>
        <v/>
      </c>
      <c r="J53" s="53" t="str">
        <f>IFERROR(VLOOKUP($B53,'発話マスタ'!$A:$K,J$8,0),"")</f>
        <v/>
      </c>
      <c r="K53" s="53" t="str">
        <f>IFERROR(VLOOKUP($B53,'発話マスタ'!$A:$K,K$8,0),"")</f>
        <v/>
      </c>
      <c r="L53" s="53" t="str">
        <f>IFERROR(VLOOKUP($B53,'発話マスタ'!$A:$K,L$8,0),"")</f>
        <v/>
      </c>
      <c r="M53" s="53" t="str">
        <f>IFERROR(VLOOKUP($B53,'発話マスタ'!$A:$K,M$8,0),"")</f>
        <v/>
      </c>
      <c r="N53" s="53"/>
      <c r="O53" s="53"/>
      <c r="P53" s="53"/>
      <c r="Q53" s="53"/>
      <c r="R53" s="53"/>
      <c r="S53" s="53"/>
      <c r="T53" s="53"/>
      <c r="U53" s="53"/>
      <c r="V53" s="53"/>
      <c r="W53" s="53"/>
      <c r="X53" s="53"/>
      <c r="Y53" s="53"/>
      <c r="Z53" s="53"/>
      <c r="AA53" s="88"/>
    </row>
    <row r="54" ht="15.75" customHeight="1">
      <c r="A54" s="86">
        <v>44.0</v>
      </c>
      <c r="B54" s="87"/>
      <c r="C54" s="53"/>
      <c r="D54" s="53" t="str">
        <f>IFERROR(VLOOKUP($B54,'発話マスタ'!$A:$K,D$8,0),"")</f>
        <v/>
      </c>
      <c r="E54" s="53" t="str">
        <f>IFERROR(VLOOKUP($B54,'発話マスタ'!$A:$K,E$8,0),"")</f>
        <v/>
      </c>
      <c r="F54" s="53" t="str">
        <f>IFERROR(VLOOKUP($B54,'発話マスタ'!$A:$K,F$8,0),"")</f>
        <v/>
      </c>
      <c r="G54" s="53" t="str">
        <f>IFERROR(VLOOKUP($B54,'発話マスタ'!$A:$K,G$8,0),"")</f>
        <v/>
      </c>
      <c r="H54" s="53" t="str">
        <f>IFERROR(VLOOKUP($B54,'発話マスタ'!$A:$K,H$8,0),"")</f>
        <v/>
      </c>
      <c r="I54" s="53" t="str">
        <f>IFERROR(VLOOKUP($B54,'発話マスタ'!$A:$K,I$8,0),"")</f>
        <v/>
      </c>
      <c r="J54" s="53" t="str">
        <f>IFERROR(VLOOKUP($B54,'発話マスタ'!$A:$K,J$8,0),"")</f>
        <v/>
      </c>
      <c r="K54" s="53" t="str">
        <f>IFERROR(VLOOKUP($B54,'発話マスタ'!$A:$K,K$8,0),"")</f>
        <v/>
      </c>
      <c r="L54" s="53" t="str">
        <f>IFERROR(VLOOKUP($B54,'発話マスタ'!$A:$K,L$8,0),"")</f>
        <v/>
      </c>
      <c r="M54" s="53" t="str">
        <f>IFERROR(VLOOKUP($B54,'発話マスタ'!$A:$K,M$8,0),"")</f>
        <v/>
      </c>
      <c r="N54" s="53"/>
      <c r="O54" s="53"/>
      <c r="P54" s="53"/>
      <c r="Q54" s="53"/>
      <c r="R54" s="53"/>
      <c r="S54" s="53"/>
      <c r="T54" s="53"/>
      <c r="U54" s="53"/>
      <c r="V54" s="53"/>
      <c r="W54" s="53"/>
      <c r="X54" s="53"/>
      <c r="Y54" s="53"/>
      <c r="Z54" s="53"/>
      <c r="AA54" s="88"/>
    </row>
    <row r="55" ht="15.75" customHeight="1">
      <c r="A55" s="86">
        <v>45.0</v>
      </c>
      <c r="B55" s="87"/>
      <c r="C55" s="53"/>
      <c r="D55" s="53" t="str">
        <f>IFERROR(VLOOKUP($B55,'発話マスタ'!$A:$K,D$8,0),"")</f>
        <v/>
      </c>
      <c r="E55" s="53" t="str">
        <f>IFERROR(VLOOKUP($B55,'発話マスタ'!$A:$K,E$8,0),"")</f>
        <v/>
      </c>
      <c r="F55" s="53" t="str">
        <f>IFERROR(VLOOKUP($B55,'発話マスタ'!$A:$K,F$8,0),"")</f>
        <v/>
      </c>
      <c r="G55" s="53" t="str">
        <f>IFERROR(VLOOKUP($B55,'発話マスタ'!$A:$K,G$8,0),"")</f>
        <v/>
      </c>
      <c r="H55" s="53" t="str">
        <f>IFERROR(VLOOKUP($B55,'発話マスタ'!$A:$K,H$8,0),"")</f>
        <v/>
      </c>
      <c r="I55" s="53" t="str">
        <f>IFERROR(VLOOKUP($B55,'発話マスタ'!$A:$K,I$8,0),"")</f>
        <v/>
      </c>
      <c r="J55" s="53" t="str">
        <f>IFERROR(VLOOKUP($B55,'発話マスタ'!$A:$K,J$8,0),"")</f>
        <v/>
      </c>
      <c r="K55" s="53" t="str">
        <f>IFERROR(VLOOKUP($B55,'発話マスタ'!$A:$K,K$8,0),"")</f>
        <v/>
      </c>
      <c r="L55" s="53" t="str">
        <f>IFERROR(VLOOKUP($B55,'発話マスタ'!$A:$K,L$8,0),"")</f>
        <v/>
      </c>
      <c r="M55" s="53" t="str">
        <f>IFERROR(VLOOKUP($B55,'発話マスタ'!$A:$K,M$8,0),"")</f>
        <v/>
      </c>
      <c r="N55" s="53"/>
      <c r="O55" s="53"/>
      <c r="P55" s="53"/>
      <c r="Q55" s="53"/>
      <c r="R55" s="53"/>
      <c r="S55" s="53"/>
      <c r="T55" s="53"/>
      <c r="U55" s="53"/>
      <c r="V55" s="53"/>
      <c r="W55" s="53"/>
      <c r="X55" s="53"/>
      <c r="Y55" s="53"/>
      <c r="Z55" s="53"/>
      <c r="AA55" s="88"/>
    </row>
    <row r="56" ht="15.75" customHeight="1">
      <c r="A56" s="86">
        <v>46.0</v>
      </c>
      <c r="B56" s="87"/>
      <c r="C56" s="53"/>
      <c r="D56" s="53" t="str">
        <f>IFERROR(VLOOKUP($B56,'発話マスタ'!$A:$K,D$8,0),"")</f>
        <v/>
      </c>
      <c r="E56" s="53" t="str">
        <f>IFERROR(VLOOKUP($B56,'発話マスタ'!$A:$K,E$8,0),"")</f>
        <v/>
      </c>
      <c r="F56" s="53" t="str">
        <f>IFERROR(VLOOKUP($B56,'発話マスタ'!$A:$K,F$8,0),"")</f>
        <v/>
      </c>
      <c r="G56" s="53" t="str">
        <f>IFERROR(VLOOKUP($B56,'発話マスタ'!$A:$K,G$8,0),"")</f>
        <v/>
      </c>
      <c r="H56" s="53" t="str">
        <f>IFERROR(VLOOKUP($B56,'発話マスタ'!$A:$K,H$8,0),"")</f>
        <v/>
      </c>
      <c r="I56" s="53" t="str">
        <f>IFERROR(VLOOKUP($B56,'発話マスタ'!$A:$K,I$8,0),"")</f>
        <v/>
      </c>
      <c r="J56" s="53" t="str">
        <f>IFERROR(VLOOKUP($B56,'発話マスタ'!$A:$K,J$8,0),"")</f>
        <v/>
      </c>
      <c r="K56" s="53" t="str">
        <f>IFERROR(VLOOKUP($B56,'発話マスタ'!$A:$K,K$8,0),"")</f>
        <v/>
      </c>
      <c r="L56" s="53" t="str">
        <f>IFERROR(VLOOKUP($B56,'発話マスタ'!$A:$K,L$8,0),"")</f>
        <v/>
      </c>
      <c r="M56" s="53" t="str">
        <f>IFERROR(VLOOKUP($B56,'発話マスタ'!$A:$K,M$8,0),"")</f>
        <v/>
      </c>
      <c r="N56" s="53"/>
      <c r="O56" s="53"/>
      <c r="P56" s="53"/>
      <c r="Q56" s="53"/>
      <c r="R56" s="53"/>
      <c r="S56" s="53"/>
      <c r="T56" s="53"/>
      <c r="U56" s="53"/>
      <c r="V56" s="53"/>
      <c r="W56" s="53"/>
      <c r="X56" s="53"/>
      <c r="Y56" s="53"/>
      <c r="Z56" s="53"/>
      <c r="AA56" s="88"/>
    </row>
    <row r="57" ht="15.75" customHeight="1">
      <c r="A57" s="86">
        <v>47.0</v>
      </c>
      <c r="B57" s="87"/>
      <c r="C57" s="53"/>
      <c r="D57" s="53" t="str">
        <f>IFERROR(VLOOKUP($B57,'発話マスタ'!$A:$K,D$8,0),"")</f>
        <v/>
      </c>
      <c r="E57" s="53" t="str">
        <f>IFERROR(VLOOKUP($B57,'発話マスタ'!$A:$K,E$8,0),"")</f>
        <v/>
      </c>
      <c r="F57" s="53" t="str">
        <f>IFERROR(VLOOKUP($B57,'発話マスタ'!$A:$K,F$8,0),"")</f>
        <v/>
      </c>
      <c r="G57" s="53" t="str">
        <f>IFERROR(VLOOKUP($B57,'発話マスタ'!$A:$K,G$8,0),"")</f>
        <v/>
      </c>
      <c r="H57" s="53" t="str">
        <f>IFERROR(VLOOKUP($B57,'発話マスタ'!$A:$K,H$8,0),"")</f>
        <v/>
      </c>
      <c r="I57" s="53" t="str">
        <f>IFERROR(VLOOKUP($B57,'発話マスタ'!$A:$K,I$8,0),"")</f>
        <v/>
      </c>
      <c r="J57" s="53" t="str">
        <f>IFERROR(VLOOKUP($B57,'発話マスタ'!$A:$K,J$8,0),"")</f>
        <v/>
      </c>
      <c r="K57" s="53" t="str">
        <f>IFERROR(VLOOKUP($B57,'発話マスタ'!$A:$K,K$8,0),"")</f>
        <v/>
      </c>
      <c r="L57" s="53" t="str">
        <f>IFERROR(VLOOKUP($B57,'発話マスタ'!$A:$K,L$8,0),"")</f>
        <v/>
      </c>
      <c r="M57" s="53" t="str">
        <f>IFERROR(VLOOKUP($B57,'発話マスタ'!$A:$K,M$8,0),"")</f>
        <v/>
      </c>
      <c r="N57" s="53"/>
      <c r="O57" s="53"/>
      <c r="P57" s="53"/>
      <c r="Q57" s="53"/>
      <c r="R57" s="53"/>
      <c r="S57" s="53"/>
      <c r="T57" s="53"/>
      <c r="U57" s="53"/>
      <c r="V57" s="53"/>
      <c r="W57" s="53"/>
      <c r="X57" s="53"/>
      <c r="Y57" s="53"/>
      <c r="Z57" s="53"/>
      <c r="AA57" s="88"/>
    </row>
    <row r="58" ht="15.75" customHeight="1">
      <c r="A58" s="86">
        <v>48.0</v>
      </c>
      <c r="B58" s="87"/>
      <c r="C58" s="53"/>
      <c r="D58" s="53" t="str">
        <f>IFERROR(VLOOKUP($B58,'発話マスタ'!$A:$K,D$8,0),"")</f>
        <v/>
      </c>
      <c r="E58" s="53" t="str">
        <f>IFERROR(VLOOKUP($B58,'発話マスタ'!$A:$K,E$8,0),"")</f>
        <v/>
      </c>
      <c r="F58" s="53" t="str">
        <f>IFERROR(VLOOKUP($B58,'発話マスタ'!$A:$K,F$8,0),"")</f>
        <v/>
      </c>
      <c r="G58" s="53" t="str">
        <f>IFERROR(VLOOKUP($B58,'発話マスタ'!$A:$K,G$8,0),"")</f>
        <v/>
      </c>
      <c r="H58" s="53" t="str">
        <f>IFERROR(VLOOKUP($B58,'発話マスタ'!$A:$K,H$8,0),"")</f>
        <v/>
      </c>
      <c r="I58" s="53" t="str">
        <f>IFERROR(VLOOKUP($B58,'発話マスタ'!$A:$K,I$8,0),"")</f>
        <v/>
      </c>
      <c r="J58" s="53" t="str">
        <f>IFERROR(VLOOKUP($B58,'発話マスタ'!$A:$K,J$8,0),"")</f>
        <v/>
      </c>
      <c r="K58" s="53" t="str">
        <f>IFERROR(VLOOKUP($B58,'発話マスタ'!$A:$K,K$8,0),"")</f>
        <v/>
      </c>
      <c r="L58" s="53" t="str">
        <f>IFERROR(VLOOKUP($B58,'発話マスタ'!$A:$K,L$8,0),"")</f>
        <v/>
      </c>
      <c r="M58" s="53" t="str">
        <f>IFERROR(VLOOKUP($B58,'発話マスタ'!$A:$K,M$8,0),"")</f>
        <v/>
      </c>
      <c r="N58" s="53"/>
      <c r="O58" s="53"/>
      <c r="P58" s="53"/>
      <c r="Q58" s="53"/>
      <c r="R58" s="53"/>
      <c r="S58" s="53"/>
      <c r="T58" s="53"/>
      <c r="U58" s="53"/>
      <c r="V58" s="53"/>
      <c r="W58" s="53"/>
      <c r="X58" s="53"/>
      <c r="Y58" s="53"/>
      <c r="Z58" s="53"/>
      <c r="AA58" s="88"/>
    </row>
    <row r="59" ht="15.75" customHeight="1">
      <c r="A59" s="86">
        <v>49.0</v>
      </c>
      <c r="B59" s="87"/>
      <c r="C59" s="53"/>
      <c r="D59" s="53" t="str">
        <f>IFERROR(VLOOKUP($B59,'発話マスタ'!$A:$K,D$8,0),"")</f>
        <v/>
      </c>
      <c r="E59" s="53" t="str">
        <f>IFERROR(VLOOKUP($B59,'発話マスタ'!$A:$K,E$8,0),"")</f>
        <v/>
      </c>
      <c r="F59" s="53" t="str">
        <f>IFERROR(VLOOKUP($B59,'発話マスタ'!$A:$K,F$8,0),"")</f>
        <v/>
      </c>
      <c r="G59" s="53" t="str">
        <f>IFERROR(VLOOKUP($B59,'発話マスタ'!$A:$K,G$8,0),"")</f>
        <v/>
      </c>
      <c r="H59" s="53" t="str">
        <f>IFERROR(VLOOKUP($B59,'発話マスタ'!$A:$K,H$8,0),"")</f>
        <v/>
      </c>
      <c r="I59" s="53" t="str">
        <f>IFERROR(VLOOKUP($B59,'発話マスタ'!$A:$K,I$8,0),"")</f>
        <v/>
      </c>
      <c r="J59" s="53" t="str">
        <f>IFERROR(VLOOKUP($B59,'発話マスタ'!$A:$K,J$8,0),"")</f>
        <v/>
      </c>
      <c r="K59" s="53" t="str">
        <f>IFERROR(VLOOKUP($B59,'発話マスタ'!$A:$K,K$8,0),"")</f>
        <v/>
      </c>
      <c r="L59" s="53" t="str">
        <f>IFERROR(VLOOKUP($B59,'発話マスタ'!$A:$K,L$8,0),"")</f>
        <v/>
      </c>
      <c r="M59" s="53" t="str">
        <f>IFERROR(VLOOKUP($B59,'発話マスタ'!$A:$K,M$8,0),"")</f>
        <v/>
      </c>
      <c r="N59" s="53"/>
      <c r="O59" s="53"/>
      <c r="P59" s="53"/>
      <c r="Q59" s="53"/>
      <c r="R59" s="53"/>
      <c r="S59" s="53"/>
      <c r="T59" s="53"/>
      <c r="U59" s="53"/>
      <c r="V59" s="53"/>
      <c r="W59" s="53"/>
      <c r="X59" s="53"/>
      <c r="Y59" s="53"/>
      <c r="Z59" s="53"/>
      <c r="AA59" s="88"/>
    </row>
    <row r="60" ht="15.75" customHeight="1">
      <c r="A60" s="86">
        <v>50.0</v>
      </c>
      <c r="B60" s="87"/>
      <c r="C60" s="53"/>
      <c r="D60" s="53" t="str">
        <f>IFERROR(VLOOKUP($B60,'発話マスタ'!$A:$K,D$8,0),"")</f>
        <v/>
      </c>
      <c r="E60" s="53" t="str">
        <f>IFERROR(VLOOKUP($B60,'発話マスタ'!$A:$K,E$8,0),"")</f>
        <v/>
      </c>
      <c r="F60" s="53" t="str">
        <f>IFERROR(VLOOKUP($B60,'発話マスタ'!$A:$K,F$8,0),"")</f>
        <v/>
      </c>
      <c r="G60" s="53" t="str">
        <f>IFERROR(VLOOKUP($B60,'発話マスタ'!$A:$K,G$8,0),"")</f>
        <v/>
      </c>
      <c r="H60" s="53" t="str">
        <f>IFERROR(VLOOKUP($B60,'発話マスタ'!$A:$K,H$8,0),"")</f>
        <v/>
      </c>
      <c r="I60" s="53" t="str">
        <f>IFERROR(VLOOKUP($B60,'発話マスタ'!$A:$K,I$8,0),"")</f>
        <v/>
      </c>
      <c r="J60" s="53" t="str">
        <f>IFERROR(VLOOKUP($B60,'発話マスタ'!$A:$K,J$8,0),"")</f>
        <v/>
      </c>
      <c r="K60" s="53" t="str">
        <f>IFERROR(VLOOKUP($B60,'発話マスタ'!$A:$K,K$8,0),"")</f>
        <v/>
      </c>
      <c r="L60" s="53" t="str">
        <f>IFERROR(VLOOKUP($B60,'発話マスタ'!$A:$K,L$8,0),"")</f>
        <v/>
      </c>
      <c r="M60" s="53" t="str">
        <f>IFERROR(VLOOKUP($B60,'発話マスタ'!$A:$K,M$8,0),"")</f>
        <v/>
      </c>
      <c r="N60" s="53"/>
      <c r="O60" s="53"/>
      <c r="P60" s="53"/>
      <c r="Q60" s="53"/>
      <c r="R60" s="53"/>
      <c r="S60" s="53"/>
      <c r="T60" s="53"/>
      <c r="U60" s="53"/>
      <c r="V60" s="53"/>
      <c r="W60" s="53"/>
      <c r="X60" s="53"/>
      <c r="Y60" s="53"/>
      <c r="Z60" s="53"/>
      <c r="AA60" s="88"/>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L2"/>
    <mergeCell ref="A3:AA3"/>
    <mergeCell ref="A4:AA4"/>
    <mergeCell ref="A5:AA5"/>
    <mergeCell ref="A6:AA6"/>
  </mergeCells>
  <conditionalFormatting sqref="D11:M60">
    <cfRule type="expression" dxfId="0" priority="1">
      <formula>AND(D11&lt;&gt;"",COUNTIF($D$11:$Z$60,D11)&gt;1)</formula>
    </cfRule>
  </conditionalFormatting>
  <dataValidations>
    <dataValidation type="list" allowBlank="1" showErrorMessage="1" sqref="C10:C60">
      <formula1>"〇,×"</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showGridLines="0" workbookViewId="0"/>
  </sheetViews>
  <sheetFormatPr customHeight="1" defaultColWidth="12.63" defaultRowHeight="15.0" outlineLevelCol="1"/>
  <cols>
    <col customWidth="1" min="1" max="1" width="11.0"/>
    <col customWidth="1" min="2" max="2" width="29.13"/>
    <col customWidth="1" min="3" max="3" width="18.38"/>
    <col customWidth="1" min="4" max="13" width="11.0"/>
    <col customWidth="1" hidden="1" min="14" max="26" width="11.0" outlineLevel="1"/>
    <col customWidth="1" min="27" max="27" width="11.0"/>
  </cols>
  <sheetData>
    <row r="1" ht="15.75" customHeight="1">
      <c r="A1" s="58" t="s">
        <v>222</v>
      </c>
      <c r="B1" s="59"/>
      <c r="C1" s="59"/>
      <c r="D1" s="59"/>
      <c r="E1" s="59"/>
      <c r="F1" s="59"/>
      <c r="G1" s="59"/>
      <c r="H1" s="59"/>
      <c r="I1" s="59"/>
      <c r="J1" s="59"/>
      <c r="K1" s="59"/>
      <c r="L1" s="59"/>
      <c r="M1" s="60" t="s">
        <v>121</v>
      </c>
      <c r="N1" s="60"/>
      <c r="O1" s="60"/>
      <c r="P1" s="60"/>
      <c r="Q1" s="60"/>
      <c r="R1" s="60"/>
      <c r="S1" s="60"/>
      <c r="T1" s="60"/>
      <c r="U1" s="60"/>
      <c r="V1" s="60"/>
      <c r="W1" s="60"/>
      <c r="X1" s="60"/>
      <c r="Y1" s="60"/>
      <c r="Z1" s="60"/>
      <c r="AA1" s="61"/>
    </row>
    <row r="2" ht="15.75" customHeight="1">
      <c r="A2" s="62"/>
      <c r="B2" s="63"/>
      <c r="C2" s="63"/>
      <c r="D2" s="63"/>
      <c r="E2" s="63"/>
      <c r="F2" s="63"/>
      <c r="G2" s="63"/>
      <c r="H2" s="63"/>
      <c r="I2" s="63"/>
      <c r="J2" s="63"/>
      <c r="K2" s="63"/>
      <c r="L2" s="63"/>
      <c r="M2" s="64" t="s">
        <v>122</v>
      </c>
      <c r="N2" s="64"/>
      <c r="O2" s="64"/>
      <c r="P2" s="64"/>
      <c r="Q2" s="64"/>
      <c r="R2" s="64"/>
      <c r="S2" s="64"/>
      <c r="T2" s="64"/>
      <c r="U2" s="64"/>
      <c r="V2" s="64"/>
      <c r="W2" s="64"/>
      <c r="X2" s="64"/>
      <c r="Y2" s="64"/>
      <c r="Z2" s="64"/>
      <c r="AA2" s="50"/>
    </row>
    <row r="3" ht="15.75" customHeight="1">
      <c r="A3" s="65" t="s">
        <v>123</v>
      </c>
      <c r="B3" s="66"/>
      <c r="C3" s="66"/>
      <c r="D3" s="66"/>
      <c r="E3" s="66"/>
      <c r="F3" s="66"/>
      <c r="G3" s="66"/>
      <c r="H3" s="66"/>
      <c r="I3" s="66"/>
      <c r="J3" s="66"/>
      <c r="K3" s="66"/>
      <c r="L3" s="66"/>
      <c r="M3" s="66"/>
      <c r="N3" s="66"/>
      <c r="O3" s="66"/>
      <c r="P3" s="66"/>
      <c r="Q3" s="66"/>
      <c r="R3" s="66"/>
      <c r="S3" s="66"/>
      <c r="T3" s="66"/>
      <c r="U3" s="66"/>
      <c r="V3" s="66"/>
      <c r="W3" s="66"/>
      <c r="X3" s="66"/>
      <c r="Y3" s="66"/>
      <c r="Z3" s="66"/>
      <c r="AA3" s="67"/>
    </row>
    <row r="4" ht="15.75" customHeight="1">
      <c r="A4" s="68" t="s">
        <v>124</v>
      </c>
      <c r="B4" s="69"/>
      <c r="C4" s="69"/>
      <c r="D4" s="69"/>
      <c r="E4" s="69"/>
      <c r="F4" s="69"/>
      <c r="G4" s="69"/>
      <c r="H4" s="69"/>
      <c r="I4" s="69"/>
      <c r="J4" s="69"/>
      <c r="K4" s="69"/>
      <c r="L4" s="69"/>
      <c r="M4" s="69"/>
      <c r="N4" s="69"/>
      <c r="O4" s="69"/>
      <c r="P4" s="69"/>
      <c r="Q4" s="69"/>
      <c r="R4" s="69"/>
      <c r="S4" s="69"/>
      <c r="T4" s="69"/>
      <c r="U4" s="69"/>
      <c r="V4" s="69"/>
      <c r="W4" s="69"/>
      <c r="X4" s="69"/>
      <c r="Y4" s="69"/>
      <c r="Z4" s="69"/>
      <c r="AA4" s="70"/>
    </row>
    <row r="5" ht="15.75" customHeight="1">
      <c r="A5" s="68" t="s">
        <v>125</v>
      </c>
      <c r="B5" s="69"/>
      <c r="C5" s="69"/>
      <c r="D5" s="69"/>
      <c r="E5" s="69"/>
      <c r="F5" s="69"/>
      <c r="G5" s="69"/>
      <c r="H5" s="69"/>
      <c r="I5" s="69"/>
      <c r="J5" s="69"/>
      <c r="K5" s="69"/>
      <c r="L5" s="69"/>
      <c r="M5" s="69"/>
      <c r="N5" s="69"/>
      <c r="O5" s="69"/>
      <c r="P5" s="69"/>
      <c r="Q5" s="69"/>
      <c r="R5" s="69"/>
      <c r="S5" s="69"/>
      <c r="T5" s="69"/>
      <c r="U5" s="69"/>
      <c r="V5" s="69"/>
      <c r="W5" s="69"/>
      <c r="X5" s="69"/>
      <c r="Y5" s="69"/>
      <c r="Z5" s="69"/>
      <c r="AA5" s="70"/>
    </row>
    <row r="6" ht="15.75" customHeight="1">
      <c r="A6" s="71" t="s">
        <v>126</v>
      </c>
      <c r="B6" s="72"/>
      <c r="C6" s="72"/>
      <c r="D6" s="72"/>
      <c r="E6" s="72"/>
      <c r="F6" s="72"/>
      <c r="G6" s="72"/>
      <c r="H6" s="72"/>
      <c r="I6" s="72"/>
      <c r="J6" s="72"/>
      <c r="K6" s="72"/>
      <c r="L6" s="72"/>
      <c r="M6" s="72"/>
      <c r="N6" s="72"/>
      <c r="O6" s="72"/>
      <c r="P6" s="72"/>
      <c r="Q6" s="72"/>
      <c r="R6" s="72"/>
      <c r="S6" s="72"/>
      <c r="T6" s="72"/>
      <c r="U6" s="72"/>
      <c r="V6" s="72"/>
      <c r="W6" s="72"/>
      <c r="X6" s="72"/>
      <c r="Y6" s="72"/>
      <c r="Z6" s="72"/>
      <c r="AA6" s="73"/>
    </row>
    <row r="7" ht="15.75" customHeight="1">
      <c r="A7" s="74"/>
      <c r="B7" s="1"/>
      <c r="C7" s="1"/>
      <c r="D7" s="1"/>
      <c r="E7" s="1"/>
      <c r="F7" s="1"/>
      <c r="G7" s="1"/>
      <c r="H7" s="1"/>
      <c r="I7" s="1"/>
      <c r="J7" s="1"/>
      <c r="K7" s="1"/>
      <c r="L7" s="1"/>
      <c r="M7" s="1"/>
      <c r="N7" s="1"/>
      <c r="O7" s="1"/>
      <c r="P7" s="1"/>
      <c r="Q7" s="1"/>
      <c r="R7" s="1"/>
      <c r="S7" s="1"/>
      <c r="T7" s="1"/>
      <c r="U7" s="1"/>
      <c r="V7" s="1"/>
      <c r="W7" s="1"/>
      <c r="X7" s="1"/>
      <c r="Y7" s="1"/>
      <c r="Z7" s="1"/>
      <c r="AA7" s="75"/>
    </row>
    <row r="8" ht="15.75" customHeight="1">
      <c r="A8" s="74"/>
      <c r="B8" s="1"/>
      <c r="C8" s="1"/>
      <c r="D8" s="76">
        <v>2.0</v>
      </c>
      <c r="E8" s="76">
        <v>3.0</v>
      </c>
      <c r="F8" s="76">
        <v>4.0</v>
      </c>
      <c r="G8" s="76">
        <v>5.0</v>
      </c>
      <c r="H8" s="76">
        <v>6.0</v>
      </c>
      <c r="I8" s="76">
        <v>7.0</v>
      </c>
      <c r="J8" s="76">
        <v>8.0</v>
      </c>
      <c r="K8" s="76">
        <v>9.0</v>
      </c>
      <c r="L8" s="76">
        <v>10.0</v>
      </c>
      <c r="M8" s="76">
        <v>11.0</v>
      </c>
      <c r="N8" s="1"/>
      <c r="O8" s="1"/>
      <c r="P8" s="1"/>
      <c r="Q8" s="1"/>
      <c r="R8" s="1"/>
      <c r="S8" s="1"/>
      <c r="T8" s="1"/>
      <c r="U8" s="1"/>
      <c r="V8" s="1"/>
      <c r="W8" s="1"/>
      <c r="X8" s="1"/>
      <c r="Y8" s="1"/>
      <c r="Z8" s="1"/>
      <c r="AA8" s="75"/>
    </row>
    <row r="9" ht="15.75" customHeight="1">
      <c r="A9" s="77" t="s">
        <v>127</v>
      </c>
      <c r="B9" s="78" t="s">
        <v>223</v>
      </c>
      <c r="C9" s="79" t="s">
        <v>129</v>
      </c>
      <c r="D9" s="77" t="s">
        <v>130</v>
      </c>
      <c r="E9" s="77" t="s">
        <v>130</v>
      </c>
      <c r="F9" s="77" t="s">
        <v>130</v>
      </c>
      <c r="G9" s="77" t="s">
        <v>130</v>
      </c>
      <c r="H9" s="77" t="s">
        <v>130</v>
      </c>
      <c r="I9" s="77" t="s">
        <v>130</v>
      </c>
      <c r="J9" s="77" t="s">
        <v>130</v>
      </c>
      <c r="K9" s="77" t="s">
        <v>130</v>
      </c>
      <c r="L9" s="77" t="s">
        <v>130</v>
      </c>
      <c r="M9" s="77" t="s">
        <v>130</v>
      </c>
      <c r="N9" s="77" t="s">
        <v>130</v>
      </c>
      <c r="O9" s="77" t="s">
        <v>130</v>
      </c>
      <c r="P9" s="77" t="s">
        <v>130</v>
      </c>
      <c r="Q9" s="77" t="s">
        <v>130</v>
      </c>
      <c r="R9" s="77" t="s">
        <v>130</v>
      </c>
      <c r="S9" s="77" t="s">
        <v>130</v>
      </c>
      <c r="T9" s="77" t="s">
        <v>130</v>
      </c>
      <c r="U9" s="77" t="s">
        <v>130</v>
      </c>
      <c r="V9" s="77" t="s">
        <v>130</v>
      </c>
      <c r="W9" s="77" t="s">
        <v>130</v>
      </c>
      <c r="X9" s="77" t="s">
        <v>130</v>
      </c>
      <c r="Y9" s="77" t="s">
        <v>130</v>
      </c>
      <c r="Z9" s="77" t="s">
        <v>130</v>
      </c>
      <c r="AA9" s="80" t="s">
        <v>131</v>
      </c>
    </row>
    <row r="10" ht="15.75" customHeight="1">
      <c r="A10" s="81" t="s">
        <v>132</v>
      </c>
      <c r="B10" s="81" t="s">
        <v>224</v>
      </c>
      <c r="C10" s="82" t="s">
        <v>62</v>
      </c>
      <c r="D10" s="83" t="s">
        <v>225</v>
      </c>
      <c r="E10" s="83" t="s">
        <v>226</v>
      </c>
      <c r="F10" s="84"/>
      <c r="G10" s="84"/>
      <c r="H10" s="84"/>
      <c r="I10" s="84"/>
      <c r="J10" s="84"/>
      <c r="K10" s="84"/>
      <c r="L10" s="84"/>
      <c r="M10" s="84"/>
      <c r="N10" s="84"/>
      <c r="O10" s="84"/>
      <c r="P10" s="84"/>
      <c r="Q10" s="84"/>
      <c r="R10" s="84"/>
      <c r="S10" s="84"/>
      <c r="T10" s="84"/>
      <c r="U10" s="84"/>
      <c r="V10" s="84"/>
      <c r="W10" s="84"/>
      <c r="X10" s="84"/>
      <c r="Y10" s="84"/>
      <c r="Z10" s="84"/>
      <c r="AA10" s="85" t="s">
        <v>137</v>
      </c>
    </row>
    <row r="11" ht="15.75" customHeight="1">
      <c r="A11" s="86">
        <v>1.0</v>
      </c>
      <c r="B11" s="87"/>
      <c r="C11" s="53"/>
      <c r="D11" s="53" t="str">
        <f>IFERROR(VLOOKUP($B11,'発話マスタ'!$A:$K,D$8,0),"")</f>
        <v/>
      </c>
      <c r="E11" s="53" t="str">
        <f>IFERROR(VLOOKUP($B11,'発話マスタ'!$A:$K,E$8,0),"")</f>
        <v/>
      </c>
      <c r="F11" s="53" t="str">
        <f>IFERROR(VLOOKUP($B11,'発話マスタ'!$A:$K,F$8,0),"")</f>
        <v/>
      </c>
      <c r="G11" s="53" t="str">
        <f>IFERROR(VLOOKUP($B11,'発話マスタ'!$A:$K,G$8,0),"")</f>
        <v/>
      </c>
      <c r="H11" s="53" t="str">
        <f>IFERROR(VLOOKUP($B11,'発話マスタ'!$A:$K,H$8,0),"")</f>
        <v/>
      </c>
      <c r="I11" s="53" t="str">
        <f>IFERROR(VLOOKUP($B11,'発話マスタ'!$A:$K,I$8,0),"")</f>
        <v/>
      </c>
      <c r="J11" s="53" t="str">
        <f>IFERROR(VLOOKUP($B11,'発話マスタ'!$A:$K,J$8,0),"")</f>
        <v/>
      </c>
      <c r="K11" s="53" t="str">
        <f>IFERROR(VLOOKUP($B11,'発話マスタ'!$A:$K,K$8,0),"")</f>
        <v/>
      </c>
      <c r="L11" s="53" t="str">
        <f>IFERROR(VLOOKUP($B11,'発話マスタ'!$A:$K,L$8,0),"")</f>
        <v/>
      </c>
      <c r="M11" s="53" t="str">
        <f>IFERROR(VLOOKUP($B11,'発話マスタ'!$A:$K,M$8,0),"")</f>
        <v/>
      </c>
      <c r="N11" s="53"/>
      <c r="O11" s="53"/>
      <c r="P11" s="53"/>
      <c r="Q11" s="53"/>
      <c r="R11" s="53"/>
      <c r="S11" s="53"/>
      <c r="T11" s="53"/>
      <c r="U11" s="53"/>
      <c r="V11" s="53"/>
      <c r="W11" s="53"/>
      <c r="X11" s="53"/>
      <c r="Y11" s="53"/>
      <c r="Z11" s="53"/>
      <c r="AA11" s="88"/>
    </row>
    <row r="12" ht="15.75" customHeight="1">
      <c r="A12" s="86">
        <v>2.0</v>
      </c>
      <c r="B12" s="87"/>
      <c r="C12" s="53"/>
      <c r="D12" s="53" t="str">
        <f>IFERROR(VLOOKUP($B12,'発話マスタ'!$A:$K,D$8,0),"")</f>
        <v/>
      </c>
      <c r="E12" s="53" t="str">
        <f>IFERROR(VLOOKUP($B12,'発話マスタ'!$A:$K,E$8,0),"")</f>
        <v/>
      </c>
      <c r="F12" s="53" t="str">
        <f>IFERROR(VLOOKUP($B12,'発話マスタ'!$A:$K,F$8,0),"")</f>
        <v/>
      </c>
      <c r="G12" s="53" t="str">
        <f>IFERROR(VLOOKUP($B12,'発話マスタ'!$A:$K,G$8,0),"")</f>
        <v/>
      </c>
      <c r="H12" s="53" t="str">
        <f>IFERROR(VLOOKUP($B12,'発話マスタ'!$A:$K,H$8,0),"")</f>
        <v/>
      </c>
      <c r="I12" s="53" t="str">
        <f>IFERROR(VLOOKUP($B12,'発話マスタ'!$A:$K,I$8,0),"")</f>
        <v/>
      </c>
      <c r="J12" s="53" t="str">
        <f>IFERROR(VLOOKUP($B12,'発話マスタ'!$A:$K,J$8,0),"")</f>
        <v/>
      </c>
      <c r="K12" s="53" t="str">
        <f>IFERROR(VLOOKUP($B12,'発話マスタ'!$A:$K,K$8,0),"")</f>
        <v/>
      </c>
      <c r="L12" s="53" t="str">
        <f>IFERROR(VLOOKUP($B12,'発話マスタ'!$A:$K,L$8,0),"")</f>
        <v/>
      </c>
      <c r="M12" s="53" t="str">
        <f>IFERROR(VLOOKUP($B12,'発話マスタ'!$A:$K,M$8,0),"")</f>
        <v/>
      </c>
      <c r="N12" s="53"/>
      <c r="O12" s="53"/>
      <c r="P12" s="53"/>
      <c r="Q12" s="53"/>
      <c r="R12" s="53"/>
      <c r="S12" s="53"/>
      <c r="T12" s="53"/>
      <c r="U12" s="53"/>
      <c r="V12" s="53"/>
      <c r="W12" s="53"/>
      <c r="X12" s="53"/>
      <c r="Y12" s="53"/>
      <c r="Z12" s="53"/>
      <c r="AA12" s="88"/>
    </row>
    <row r="13" ht="15.75" customHeight="1">
      <c r="A13" s="86">
        <v>3.0</v>
      </c>
      <c r="B13" s="87"/>
      <c r="C13" s="53"/>
      <c r="D13" s="53" t="str">
        <f>IFERROR(VLOOKUP($B13,'発話マスタ'!$A:$K,D$8,0),"")</f>
        <v/>
      </c>
      <c r="E13" s="53" t="str">
        <f>IFERROR(VLOOKUP($B13,'発話マスタ'!$A:$K,E$8,0),"")</f>
        <v/>
      </c>
      <c r="F13" s="53" t="str">
        <f>IFERROR(VLOOKUP($B13,'発話マスタ'!$A:$K,F$8,0),"")</f>
        <v/>
      </c>
      <c r="G13" s="53" t="str">
        <f>IFERROR(VLOOKUP($B13,'発話マスタ'!$A:$K,G$8,0),"")</f>
        <v/>
      </c>
      <c r="H13" s="53" t="str">
        <f>IFERROR(VLOOKUP($B13,'発話マスタ'!$A:$K,H$8,0),"")</f>
        <v/>
      </c>
      <c r="I13" s="53" t="str">
        <f>IFERROR(VLOOKUP($B13,'発話マスタ'!$A:$K,I$8,0),"")</f>
        <v/>
      </c>
      <c r="J13" s="53" t="str">
        <f>IFERROR(VLOOKUP($B13,'発話マスタ'!$A:$K,J$8,0),"")</f>
        <v/>
      </c>
      <c r="K13" s="53" t="str">
        <f>IFERROR(VLOOKUP($B13,'発話マスタ'!$A:$K,K$8,0),"")</f>
        <v/>
      </c>
      <c r="L13" s="53" t="str">
        <f>IFERROR(VLOOKUP($B13,'発話マスタ'!$A:$K,L$8,0),"")</f>
        <v/>
      </c>
      <c r="M13" s="53" t="str">
        <f>IFERROR(VLOOKUP($B13,'発話マスタ'!$A:$K,M$8,0),"")</f>
        <v/>
      </c>
      <c r="N13" s="53"/>
      <c r="O13" s="53"/>
      <c r="P13" s="53"/>
      <c r="Q13" s="53"/>
      <c r="R13" s="53"/>
      <c r="S13" s="53"/>
      <c r="T13" s="53"/>
      <c r="U13" s="53"/>
      <c r="V13" s="53"/>
      <c r="W13" s="53"/>
      <c r="X13" s="53"/>
      <c r="Y13" s="53"/>
      <c r="Z13" s="53"/>
      <c r="AA13" s="88"/>
    </row>
    <row r="14" ht="15.75" customHeight="1">
      <c r="A14" s="86">
        <v>4.0</v>
      </c>
      <c r="B14" s="87"/>
      <c r="C14" s="53"/>
      <c r="D14" s="53" t="str">
        <f>IFERROR(VLOOKUP($B14,'発話マスタ'!$A:$K,D$8,0),"")</f>
        <v/>
      </c>
      <c r="E14" s="53" t="str">
        <f>IFERROR(VLOOKUP($B14,'発話マスタ'!$A:$K,E$8,0),"")</f>
        <v/>
      </c>
      <c r="F14" s="53" t="str">
        <f>IFERROR(VLOOKUP($B14,'発話マスタ'!$A:$K,F$8,0),"")</f>
        <v/>
      </c>
      <c r="G14" s="53" t="str">
        <f>IFERROR(VLOOKUP($B14,'発話マスタ'!$A:$K,G$8,0),"")</f>
        <v/>
      </c>
      <c r="H14" s="53" t="str">
        <f>IFERROR(VLOOKUP($B14,'発話マスタ'!$A:$K,H$8,0),"")</f>
        <v/>
      </c>
      <c r="I14" s="53" t="str">
        <f>IFERROR(VLOOKUP($B14,'発話マスタ'!$A:$K,I$8,0),"")</f>
        <v/>
      </c>
      <c r="J14" s="53" t="str">
        <f>IFERROR(VLOOKUP($B14,'発話マスタ'!$A:$K,J$8,0),"")</f>
        <v/>
      </c>
      <c r="K14" s="53" t="str">
        <f>IFERROR(VLOOKUP($B14,'発話マスタ'!$A:$K,K$8,0),"")</f>
        <v/>
      </c>
      <c r="L14" s="53" t="str">
        <f>IFERROR(VLOOKUP($B14,'発話マスタ'!$A:$K,L$8,0),"")</f>
        <v/>
      </c>
      <c r="M14" s="53" t="str">
        <f>IFERROR(VLOOKUP($B14,'発話マスタ'!$A:$K,M$8,0),"")</f>
        <v/>
      </c>
      <c r="N14" s="53"/>
      <c r="O14" s="53"/>
      <c r="P14" s="53"/>
      <c r="Q14" s="53"/>
      <c r="R14" s="53"/>
      <c r="S14" s="53"/>
      <c r="T14" s="53"/>
      <c r="U14" s="53"/>
      <c r="V14" s="53"/>
      <c r="W14" s="53"/>
      <c r="X14" s="53"/>
      <c r="Y14" s="53"/>
      <c r="Z14" s="53"/>
      <c r="AA14" s="88"/>
    </row>
    <row r="15" ht="15.75" customHeight="1">
      <c r="A15" s="86">
        <v>5.0</v>
      </c>
      <c r="B15" s="87"/>
      <c r="C15" s="53"/>
      <c r="D15" s="53" t="str">
        <f>IFERROR(VLOOKUP($B15,'発話マスタ'!$A:$K,D$8,0),"")</f>
        <v/>
      </c>
      <c r="E15" s="53" t="str">
        <f>IFERROR(VLOOKUP($B15,'発話マスタ'!$A:$K,E$8,0),"")</f>
        <v/>
      </c>
      <c r="F15" s="53" t="str">
        <f>IFERROR(VLOOKUP($B15,'発話マスタ'!$A:$K,F$8,0),"")</f>
        <v/>
      </c>
      <c r="G15" s="53" t="str">
        <f>IFERROR(VLOOKUP($B15,'発話マスタ'!$A:$K,G$8,0),"")</f>
        <v/>
      </c>
      <c r="H15" s="53" t="str">
        <f>IFERROR(VLOOKUP($B15,'発話マスタ'!$A:$K,H$8,0),"")</f>
        <v/>
      </c>
      <c r="I15" s="53" t="str">
        <f>IFERROR(VLOOKUP($B15,'発話マスタ'!$A:$K,I$8,0),"")</f>
        <v/>
      </c>
      <c r="J15" s="53" t="str">
        <f>IFERROR(VLOOKUP($B15,'発話マスタ'!$A:$K,J$8,0),"")</f>
        <v/>
      </c>
      <c r="K15" s="53" t="str">
        <f>IFERROR(VLOOKUP($B15,'発話マスタ'!$A:$K,K$8,0),"")</f>
        <v/>
      </c>
      <c r="L15" s="53" t="str">
        <f>IFERROR(VLOOKUP($B15,'発話マスタ'!$A:$K,L$8,0),"")</f>
        <v/>
      </c>
      <c r="M15" s="53" t="str">
        <f>IFERROR(VLOOKUP($B15,'発話マスタ'!$A:$K,M$8,0),"")</f>
        <v/>
      </c>
      <c r="N15" s="53"/>
      <c r="O15" s="53"/>
      <c r="P15" s="53"/>
      <c r="Q15" s="53"/>
      <c r="R15" s="53"/>
      <c r="S15" s="53"/>
      <c r="T15" s="53"/>
      <c r="U15" s="53"/>
      <c r="V15" s="53"/>
      <c r="W15" s="53"/>
      <c r="X15" s="53"/>
      <c r="Y15" s="53"/>
      <c r="Z15" s="53"/>
      <c r="AA15" s="88"/>
    </row>
    <row r="16" ht="15.75" customHeight="1">
      <c r="A16" s="86">
        <v>6.0</v>
      </c>
      <c r="B16" s="87"/>
      <c r="C16" s="53"/>
      <c r="D16" s="53" t="str">
        <f>IFERROR(VLOOKUP($B16,'発話マスタ'!$A:$K,D$8,0),"")</f>
        <v/>
      </c>
      <c r="E16" s="53" t="str">
        <f>IFERROR(VLOOKUP($B16,'発話マスタ'!$A:$K,E$8,0),"")</f>
        <v/>
      </c>
      <c r="F16" s="53" t="str">
        <f>IFERROR(VLOOKUP($B16,'発話マスタ'!$A:$K,F$8,0),"")</f>
        <v/>
      </c>
      <c r="G16" s="53" t="str">
        <f>IFERROR(VLOOKUP($B16,'発話マスタ'!$A:$K,G$8,0),"")</f>
        <v/>
      </c>
      <c r="H16" s="53" t="str">
        <f>IFERROR(VLOOKUP($B16,'発話マスタ'!$A:$K,H$8,0),"")</f>
        <v/>
      </c>
      <c r="I16" s="53" t="str">
        <f>IFERROR(VLOOKUP($B16,'発話マスタ'!$A:$K,I$8,0),"")</f>
        <v/>
      </c>
      <c r="J16" s="53" t="str">
        <f>IFERROR(VLOOKUP($B16,'発話マスタ'!$A:$K,J$8,0),"")</f>
        <v/>
      </c>
      <c r="K16" s="53" t="str">
        <f>IFERROR(VLOOKUP($B16,'発話マスタ'!$A:$K,K$8,0),"")</f>
        <v/>
      </c>
      <c r="L16" s="53" t="str">
        <f>IFERROR(VLOOKUP($B16,'発話マスタ'!$A:$K,L$8,0),"")</f>
        <v/>
      </c>
      <c r="M16" s="53" t="str">
        <f>IFERROR(VLOOKUP($B16,'発話マスタ'!$A:$K,M$8,0),"")</f>
        <v/>
      </c>
      <c r="N16" s="53"/>
      <c r="O16" s="53"/>
      <c r="P16" s="53"/>
      <c r="Q16" s="53"/>
      <c r="R16" s="53"/>
      <c r="S16" s="53"/>
      <c r="T16" s="53"/>
      <c r="U16" s="53"/>
      <c r="V16" s="53"/>
      <c r="W16" s="53"/>
      <c r="X16" s="53"/>
      <c r="Y16" s="53"/>
      <c r="Z16" s="53"/>
      <c r="AA16" s="88"/>
    </row>
    <row r="17" ht="15.75" customHeight="1">
      <c r="A17" s="86">
        <v>7.0</v>
      </c>
      <c r="B17" s="87"/>
      <c r="C17" s="53"/>
      <c r="D17" s="53" t="str">
        <f>IFERROR(VLOOKUP($B17,'発話マスタ'!$A:$K,D$8,0),"")</f>
        <v/>
      </c>
      <c r="E17" s="53" t="str">
        <f>IFERROR(VLOOKUP($B17,'発話マスタ'!$A:$K,E$8,0),"")</f>
        <v/>
      </c>
      <c r="F17" s="53" t="str">
        <f>IFERROR(VLOOKUP($B17,'発話マスタ'!$A:$K,F$8,0),"")</f>
        <v/>
      </c>
      <c r="G17" s="53" t="str">
        <f>IFERROR(VLOOKUP($B17,'発話マスタ'!$A:$K,G$8,0),"")</f>
        <v/>
      </c>
      <c r="H17" s="53" t="str">
        <f>IFERROR(VLOOKUP($B17,'発話マスタ'!$A:$K,H$8,0),"")</f>
        <v/>
      </c>
      <c r="I17" s="53" t="str">
        <f>IFERROR(VLOOKUP($B17,'発話マスタ'!$A:$K,I$8,0),"")</f>
        <v/>
      </c>
      <c r="J17" s="53" t="str">
        <f>IFERROR(VLOOKUP($B17,'発話マスタ'!$A:$K,J$8,0),"")</f>
        <v/>
      </c>
      <c r="K17" s="53" t="str">
        <f>IFERROR(VLOOKUP($B17,'発話マスタ'!$A:$K,K$8,0),"")</f>
        <v/>
      </c>
      <c r="L17" s="53" t="str">
        <f>IFERROR(VLOOKUP($B17,'発話マスタ'!$A:$K,L$8,0),"")</f>
        <v/>
      </c>
      <c r="M17" s="53" t="str">
        <f>IFERROR(VLOOKUP($B17,'発話マスタ'!$A:$K,M$8,0),"")</f>
        <v/>
      </c>
      <c r="N17" s="53"/>
      <c r="O17" s="53"/>
      <c r="P17" s="53"/>
      <c r="Q17" s="53"/>
      <c r="R17" s="53"/>
      <c r="S17" s="53"/>
      <c r="T17" s="53"/>
      <c r="U17" s="53"/>
      <c r="V17" s="53"/>
      <c r="W17" s="53"/>
      <c r="X17" s="53"/>
      <c r="Y17" s="53"/>
      <c r="Z17" s="53"/>
      <c r="AA17" s="88"/>
    </row>
    <row r="18" ht="15.75" customHeight="1">
      <c r="A18" s="86">
        <v>8.0</v>
      </c>
      <c r="B18" s="87"/>
      <c r="C18" s="53"/>
      <c r="D18" s="53" t="str">
        <f>IFERROR(VLOOKUP($B18,'発話マスタ'!$A:$K,D$8,0),"")</f>
        <v/>
      </c>
      <c r="E18" s="53" t="str">
        <f>IFERROR(VLOOKUP($B18,'発話マスタ'!$A:$K,E$8,0),"")</f>
        <v/>
      </c>
      <c r="F18" s="53" t="str">
        <f>IFERROR(VLOOKUP($B18,'発話マスタ'!$A:$K,F$8,0),"")</f>
        <v/>
      </c>
      <c r="G18" s="53" t="str">
        <f>IFERROR(VLOOKUP($B18,'発話マスタ'!$A:$K,G$8,0),"")</f>
        <v/>
      </c>
      <c r="H18" s="53" t="str">
        <f>IFERROR(VLOOKUP($B18,'発話マスタ'!$A:$K,H$8,0),"")</f>
        <v/>
      </c>
      <c r="I18" s="53" t="str">
        <f>IFERROR(VLOOKUP($B18,'発話マスタ'!$A:$K,I$8,0),"")</f>
        <v/>
      </c>
      <c r="J18" s="53" t="str">
        <f>IFERROR(VLOOKUP($B18,'発話マスタ'!$A:$K,J$8,0),"")</f>
        <v/>
      </c>
      <c r="K18" s="53" t="str">
        <f>IFERROR(VLOOKUP($B18,'発話マスタ'!$A:$K,K$8,0),"")</f>
        <v/>
      </c>
      <c r="L18" s="53" t="str">
        <f>IFERROR(VLOOKUP($B18,'発話マスタ'!$A:$K,L$8,0),"")</f>
        <v/>
      </c>
      <c r="M18" s="53" t="str">
        <f>IFERROR(VLOOKUP($B18,'発話マスタ'!$A:$K,M$8,0),"")</f>
        <v/>
      </c>
      <c r="N18" s="53"/>
      <c r="O18" s="53"/>
      <c r="P18" s="53"/>
      <c r="Q18" s="53"/>
      <c r="R18" s="53"/>
      <c r="S18" s="53"/>
      <c r="T18" s="53"/>
      <c r="U18" s="53"/>
      <c r="V18" s="53"/>
      <c r="W18" s="53"/>
      <c r="X18" s="53"/>
      <c r="Y18" s="53"/>
      <c r="Z18" s="53"/>
      <c r="AA18" s="88"/>
    </row>
    <row r="19" ht="15.75" customHeight="1">
      <c r="A19" s="86">
        <v>9.0</v>
      </c>
      <c r="B19" s="87"/>
      <c r="C19" s="53"/>
      <c r="D19" s="53" t="str">
        <f>IFERROR(VLOOKUP($B19,'発話マスタ'!$A:$K,D$8,0),"")</f>
        <v/>
      </c>
      <c r="E19" s="53" t="str">
        <f>IFERROR(VLOOKUP($B19,'発話マスタ'!$A:$K,E$8,0),"")</f>
        <v/>
      </c>
      <c r="F19" s="53" t="str">
        <f>IFERROR(VLOOKUP($B19,'発話マスタ'!$A:$K,F$8,0),"")</f>
        <v/>
      </c>
      <c r="G19" s="53" t="str">
        <f>IFERROR(VLOOKUP($B19,'発話マスタ'!$A:$K,G$8,0),"")</f>
        <v/>
      </c>
      <c r="H19" s="53" t="str">
        <f>IFERROR(VLOOKUP($B19,'発話マスタ'!$A:$K,H$8,0),"")</f>
        <v/>
      </c>
      <c r="I19" s="53" t="str">
        <f>IFERROR(VLOOKUP($B19,'発話マスタ'!$A:$K,I$8,0),"")</f>
        <v/>
      </c>
      <c r="J19" s="53" t="str">
        <f>IFERROR(VLOOKUP($B19,'発話マスタ'!$A:$K,J$8,0),"")</f>
        <v/>
      </c>
      <c r="K19" s="53" t="str">
        <f>IFERROR(VLOOKUP($B19,'発話マスタ'!$A:$K,K$8,0),"")</f>
        <v/>
      </c>
      <c r="L19" s="53" t="str">
        <f>IFERROR(VLOOKUP($B19,'発話マスタ'!$A:$K,L$8,0),"")</f>
        <v/>
      </c>
      <c r="M19" s="53" t="str">
        <f>IFERROR(VLOOKUP($B19,'発話マスタ'!$A:$K,M$8,0),"")</f>
        <v/>
      </c>
      <c r="N19" s="53"/>
      <c r="O19" s="53"/>
      <c r="P19" s="53"/>
      <c r="Q19" s="53"/>
      <c r="R19" s="53"/>
      <c r="S19" s="53"/>
      <c r="T19" s="53"/>
      <c r="U19" s="53"/>
      <c r="V19" s="53"/>
      <c r="W19" s="53"/>
      <c r="X19" s="53"/>
      <c r="Y19" s="53"/>
      <c r="Z19" s="53"/>
      <c r="AA19" s="88"/>
    </row>
    <row r="20" ht="15.75" customHeight="1">
      <c r="A20" s="86">
        <v>10.0</v>
      </c>
      <c r="B20" s="87"/>
      <c r="C20" s="53"/>
      <c r="D20" s="53" t="str">
        <f>IFERROR(VLOOKUP($B20,'発話マスタ'!$A:$K,D$8,0),"")</f>
        <v/>
      </c>
      <c r="E20" s="53" t="str">
        <f>IFERROR(VLOOKUP($B20,'発話マスタ'!$A:$K,E$8,0),"")</f>
        <v/>
      </c>
      <c r="F20" s="53" t="str">
        <f>IFERROR(VLOOKUP($B20,'発話マスタ'!$A:$K,F$8,0),"")</f>
        <v/>
      </c>
      <c r="G20" s="53" t="str">
        <f>IFERROR(VLOOKUP($B20,'発話マスタ'!$A:$K,G$8,0),"")</f>
        <v/>
      </c>
      <c r="H20" s="53" t="str">
        <f>IFERROR(VLOOKUP($B20,'発話マスタ'!$A:$K,H$8,0),"")</f>
        <v/>
      </c>
      <c r="I20" s="53" t="str">
        <f>IFERROR(VLOOKUP($B20,'発話マスタ'!$A:$K,I$8,0),"")</f>
        <v/>
      </c>
      <c r="J20" s="53" t="str">
        <f>IFERROR(VLOOKUP($B20,'発話マスタ'!$A:$K,J$8,0),"")</f>
        <v/>
      </c>
      <c r="K20" s="53" t="str">
        <f>IFERROR(VLOOKUP($B20,'発話マスタ'!$A:$K,K$8,0),"")</f>
        <v/>
      </c>
      <c r="L20" s="53" t="str">
        <f>IFERROR(VLOOKUP($B20,'発話マスタ'!$A:$K,L$8,0),"")</f>
        <v/>
      </c>
      <c r="M20" s="53" t="str">
        <f>IFERROR(VLOOKUP($B20,'発話マスタ'!$A:$K,M$8,0),"")</f>
        <v/>
      </c>
      <c r="N20" s="53"/>
      <c r="O20" s="53"/>
      <c r="P20" s="53"/>
      <c r="Q20" s="53"/>
      <c r="R20" s="53"/>
      <c r="S20" s="53"/>
      <c r="T20" s="53"/>
      <c r="U20" s="53"/>
      <c r="V20" s="53"/>
      <c r="W20" s="53"/>
      <c r="X20" s="53"/>
      <c r="Y20" s="53"/>
      <c r="Z20" s="53"/>
      <c r="AA20" s="88"/>
    </row>
    <row r="21" ht="15.75" customHeight="1">
      <c r="A21" s="86">
        <v>11.0</v>
      </c>
      <c r="B21" s="87"/>
      <c r="C21" s="53"/>
      <c r="D21" s="53" t="str">
        <f>IFERROR(VLOOKUP($B21,'発話マスタ'!$A:$K,D$8,0),"")</f>
        <v/>
      </c>
      <c r="E21" s="53" t="str">
        <f>IFERROR(VLOOKUP($B21,'発話マスタ'!$A:$K,E$8,0),"")</f>
        <v/>
      </c>
      <c r="F21" s="53" t="str">
        <f>IFERROR(VLOOKUP($B21,'発話マスタ'!$A:$K,F$8,0),"")</f>
        <v/>
      </c>
      <c r="G21" s="53" t="str">
        <f>IFERROR(VLOOKUP($B21,'発話マスタ'!$A:$K,G$8,0),"")</f>
        <v/>
      </c>
      <c r="H21" s="53" t="str">
        <f>IFERROR(VLOOKUP($B21,'発話マスタ'!$A:$K,H$8,0),"")</f>
        <v/>
      </c>
      <c r="I21" s="53" t="str">
        <f>IFERROR(VLOOKUP($B21,'発話マスタ'!$A:$K,I$8,0),"")</f>
        <v/>
      </c>
      <c r="J21" s="53" t="str">
        <f>IFERROR(VLOOKUP($B21,'発話マスタ'!$A:$K,J$8,0),"")</f>
        <v/>
      </c>
      <c r="K21" s="53" t="str">
        <f>IFERROR(VLOOKUP($B21,'発話マスタ'!$A:$K,K$8,0),"")</f>
        <v/>
      </c>
      <c r="L21" s="53" t="str">
        <f>IFERROR(VLOOKUP($B21,'発話マスタ'!$A:$K,L$8,0),"")</f>
        <v/>
      </c>
      <c r="M21" s="53" t="str">
        <f>IFERROR(VLOOKUP($B21,'発話マスタ'!$A:$K,M$8,0),"")</f>
        <v/>
      </c>
      <c r="N21" s="53"/>
      <c r="O21" s="53"/>
      <c r="P21" s="53"/>
      <c r="Q21" s="53"/>
      <c r="R21" s="53"/>
      <c r="S21" s="53"/>
      <c r="T21" s="53"/>
      <c r="U21" s="53"/>
      <c r="V21" s="53"/>
      <c r="W21" s="53"/>
      <c r="X21" s="53"/>
      <c r="Y21" s="53"/>
      <c r="Z21" s="53"/>
      <c r="AA21" s="88"/>
    </row>
    <row r="22" ht="15.75" customHeight="1">
      <c r="A22" s="86">
        <v>12.0</v>
      </c>
      <c r="B22" s="87"/>
      <c r="C22" s="53"/>
      <c r="D22" s="53" t="str">
        <f>IFERROR(VLOOKUP($B22,'発話マスタ'!$A:$K,D$8,0),"")</f>
        <v/>
      </c>
      <c r="E22" s="53" t="str">
        <f>IFERROR(VLOOKUP($B22,'発話マスタ'!$A:$K,E$8,0),"")</f>
        <v/>
      </c>
      <c r="F22" s="53" t="str">
        <f>IFERROR(VLOOKUP($B22,'発話マスタ'!$A:$K,F$8,0),"")</f>
        <v/>
      </c>
      <c r="G22" s="53" t="str">
        <f>IFERROR(VLOOKUP($B22,'発話マスタ'!$A:$K,G$8,0),"")</f>
        <v/>
      </c>
      <c r="H22" s="53" t="str">
        <f>IFERROR(VLOOKUP($B22,'発話マスタ'!$A:$K,H$8,0),"")</f>
        <v/>
      </c>
      <c r="I22" s="53" t="str">
        <f>IFERROR(VLOOKUP($B22,'発話マスタ'!$A:$K,I$8,0),"")</f>
        <v/>
      </c>
      <c r="J22" s="53" t="str">
        <f>IFERROR(VLOOKUP($B22,'発話マスタ'!$A:$K,J$8,0),"")</f>
        <v/>
      </c>
      <c r="K22" s="53" t="str">
        <f>IFERROR(VLOOKUP($B22,'発話マスタ'!$A:$K,K$8,0),"")</f>
        <v/>
      </c>
      <c r="L22" s="53" t="str">
        <f>IFERROR(VLOOKUP($B22,'発話マスタ'!$A:$K,L$8,0),"")</f>
        <v/>
      </c>
      <c r="M22" s="53" t="str">
        <f>IFERROR(VLOOKUP($B22,'発話マスタ'!$A:$K,M$8,0),"")</f>
        <v/>
      </c>
      <c r="N22" s="53"/>
      <c r="O22" s="53"/>
      <c r="P22" s="53"/>
      <c r="Q22" s="53"/>
      <c r="R22" s="53"/>
      <c r="S22" s="53"/>
      <c r="T22" s="53"/>
      <c r="U22" s="53"/>
      <c r="V22" s="53"/>
      <c r="W22" s="53"/>
      <c r="X22" s="53"/>
      <c r="Y22" s="53"/>
      <c r="Z22" s="53"/>
      <c r="AA22" s="88"/>
    </row>
    <row r="23" ht="15.75" customHeight="1">
      <c r="A23" s="86">
        <v>13.0</v>
      </c>
      <c r="B23" s="87"/>
      <c r="C23" s="53"/>
      <c r="D23" s="53" t="str">
        <f>IFERROR(VLOOKUP($B23,'発話マスタ'!$A:$K,D$8,0),"")</f>
        <v/>
      </c>
      <c r="E23" s="53" t="str">
        <f>IFERROR(VLOOKUP($B23,'発話マスタ'!$A:$K,E$8,0),"")</f>
        <v/>
      </c>
      <c r="F23" s="53" t="str">
        <f>IFERROR(VLOOKUP($B23,'発話マスタ'!$A:$K,F$8,0),"")</f>
        <v/>
      </c>
      <c r="G23" s="53" t="str">
        <f>IFERROR(VLOOKUP($B23,'発話マスタ'!$A:$K,G$8,0),"")</f>
        <v/>
      </c>
      <c r="H23" s="53" t="str">
        <f>IFERROR(VLOOKUP($B23,'発話マスタ'!$A:$K,H$8,0),"")</f>
        <v/>
      </c>
      <c r="I23" s="53" t="str">
        <f>IFERROR(VLOOKUP($B23,'発話マスタ'!$A:$K,I$8,0),"")</f>
        <v/>
      </c>
      <c r="J23" s="53" t="str">
        <f>IFERROR(VLOOKUP($B23,'発話マスタ'!$A:$K,J$8,0),"")</f>
        <v/>
      </c>
      <c r="K23" s="53" t="str">
        <f>IFERROR(VLOOKUP($B23,'発話マスタ'!$A:$K,K$8,0),"")</f>
        <v/>
      </c>
      <c r="L23" s="53" t="str">
        <f>IFERROR(VLOOKUP($B23,'発話マスタ'!$A:$K,L$8,0),"")</f>
        <v/>
      </c>
      <c r="M23" s="53" t="str">
        <f>IFERROR(VLOOKUP($B23,'発話マスタ'!$A:$K,M$8,0),"")</f>
        <v/>
      </c>
      <c r="N23" s="53"/>
      <c r="O23" s="53"/>
      <c r="P23" s="53"/>
      <c r="Q23" s="53"/>
      <c r="R23" s="53"/>
      <c r="S23" s="53"/>
      <c r="T23" s="53"/>
      <c r="U23" s="53"/>
      <c r="V23" s="53"/>
      <c r="W23" s="53"/>
      <c r="X23" s="53"/>
      <c r="Y23" s="53"/>
      <c r="Z23" s="53"/>
      <c r="AA23" s="88"/>
    </row>
    <row r="24" ht="15.75" customHeight="1">
      <c r="A24" s="86">
        <v>14.0</v>
      </c>
      <c r="B24" s="87"/>
      <c r="C24" s="53"/>
      <c r="D24" s="53" t="str">
        <f>IFERROR(VLOOKUP($B24,'発話マスタ'!$A:$K,D$8,0),"")</f>
        <v/>
      </c>
      <c r="E24" s="53" t="str">
        <f>IFERROR(VLOOKUP($B24,'発話マスタ'!$A:$K,E$8,0),"")</f>
        <v/>
      </c>
      <c r="F24" s="53" t="str">
        <f>IFERROR(VLOOKUP($B24,'発話マスタ'!$A:$K,F$8,0),"")</f>
        <v/>
      </c>
      <c r="G24" s="53" t="str">
        <f>IFERROR(VLOOKUP($B24,'発話マスタ'!$A:$K,G$8,0),"")</f>
        <v/>
      </c>
      <c r="H24" s="53" t="str">
        <f>IFERROR(VLOOKUP($B24,'発話マスタ'!$A:$K,H$8,0),"")</f>
        <v/>
      </c>
      <c r="I24" s="53" t="str">
        <f>IFERROR(VLOOKUP($B24,'発話マスタ'!$A:$K,I$8,0),"")</f>
        <v/>
      </c>
      <c r="J24" s="53" t="str">
        <f>IFERROR(VLOOKUP($B24,'発話マスタ'!$A:$K,J$8,0),"")</f>
        <v/>
      </c>
      <c r="K24" s="53" t="str">
        <f>IFERROR(VLOOKUP($B24,'発話マスタ'!$A:$K,K$8,0),"")</f>
        <v/>
      </c>
      <c r="L24" s="53" t="str">
        <f>IFERROR(VLOOKUP($B24,'発話マスタ'!$A:$K,L$8,0),"")</f>
        <v/>
      </c>
      <c r="M24" s="53" t="str">
        <f>IFERROR(VLOOKUP($B24,'発話マスタ'!$A:$K,M$8,0),"")</f>
        <v/>
      </c>
      <c r="N24" s="53"/>
      <c r="O24" s="53"/>
      <c r="P24" s="53"/>
      <c r="Q24" s="53"/>
      <c r="R24" s="53"/>
      <c r="S24" s="53"/>
      <c r="T24" s="53"/>
      <c r="U24" s="53"/>
      <c r="V24" s="53"/>
      <c r="W24" s="53"/>
      <c r="X24" s="53"/>
      <c r="Y24" s="53"/>
      <c r="Z24" s="53"/>
      <c r="AA24" s="88"/>
    </row>
    <row r="25" ht="15.75" customHeight="1">
      <c r="A25" s="86">
        <v>15.0</v>
      </c>
      <c r="B25" s="87"/>
      <c r="C25" s="53"/>
      <c r="D25" s="53" t="str">
        <f>IFERROR(VLOOKUP($B25,'発話マスタ'!$A:$K,D$8,0),"")</f>
        <v/>
      </c>
      <c r="E25" s="53" t="str">
        <f>IFERROR(VLOOKUP($B25,'発話マスタ'!$A:$K,E$8,0),"")</f>
        <v/>
      </c>
      <c r="F25" s="53" t="str">
        <f>IFERROR(VLOOKUP($B25,'発話マスタ'!$A:$K,F$8,0),"")</f>
        <v/>
      </c>
      <c r="G25" s="53" t="str">
        <f>IFERROR(VLOOKUP($B25,'発話マスタ'!$A:$K,G$8,0),"")</f>
        <v/>
      </c>
      <c r="H25" s="53" t="str">
        <f>IFERROR(VLOOKUP($B25,'発話マスタ'!$A:$K,H$8,0),"")</f>
        <v/>
      </c>
      <c r="I25" s="53" t="str">
        <f>IFERROR(VLOOKUP($B25,'発話マスタ'!$A:$K,I$8,0),"")</f>
        <v/>
      </c>
      <c r="J25" s="53" t="str">
        <f>IFERROR(VLOOKUP($B25,'発話マスタ'!$A:$K,J$8,0),"")</f>
        <v/>
      </c>
      <c r="K25" s="53" t="str">
        <f>IFERROR(VLOOKUP($B25,'発話マスタ'!$A:$K,K$8,0),"")</f>
        <v/>
      </c>
      <c r="L25" s="53" t="str">
        <f>IFERROR(VLOOKUP($B25,'発話マスタ'!$A:$K,L$8,0),"")</f>
        <v/>
      </c>
      <c r="M25" s="53" t="str">
        <f>IFERROR(VLOOKUP($B25,'発話マスタ'!$A:$K,M$8,0),"")</f>
        <v/>
      </c>
      <c r="N25" s="53"/>
      <c r="O25" s="53"/>
      <c r="P25" s="53"/>
      <c r="Q25" s="53"/>
      <c r="R25" s="53"/>
      <c r="S25" s="53"/>
      <c r="T25" s="53"/>
      <c r="U25" s="53"/>
      <c r="V25" s="53"/>
      <c r="W25" s="53"/>
      <c r="X25" s="53"/>
      <c r="Y25" s="53"/>
      <c r="Z25" s="53"/>
      <c r="AA25" s="88"/>
    </row>
    <row r="26" ht="15.75" customHeight="1">
      <c r="A26" s="86">
        <v>16.0</v>
      </c>
      <c r="B26" s="87"/>
      <c r="C26" s="53"/>
      <c r="D26" s="53" t="str">
        <f>IFERROR(VLOOKUP($B26,'発話マスタ'!$A:$K,D$8,0),"")</f>
        <v/>
      </c>
      <c r="E26" s="53" t="str">
        <f>IFERROR(VLOOKUP($B26,'発話マスタ'!$A:$K,E$8,0),"")</f>
        <v/>
      </c>
      <c r="F26" s="53" t="str">
        <f>IFERROR(VLOOKUP($B26,'発話マスタ'!$A:$K,F$8,0),"")</f>
        <v/>
      </c>
      <c r="G26" s="53" t="str">
        <f>IFERROR(VLOOKUP($B26,'発話マスタ'!$A:$K,G$8,0),"")</f>
        <v/>
      </c>
      <c r="H26" s="53" t="str">
        <f>IFERROR(VLOOKUP($B26,'発話マスタ'!$A:$K,H$8,0),"")</f>
        <v/>
      </c>
      <c r="I26" s="53" t="str">
        <f>IFERROR(VLOOKUP($B26,'発話マスタ'!$A:$K,I$8,0),"")</f>
        <v/>
      </c>
      <c r="J26" s="53" t="str">
        <f>IFERROR(VLOOKUP($B26,'発話マスタ'!$A:$K,J$8,0),"")</f>
        <v/>
      </c>
      <c r="K26" s="53" t="str">
        <f>IFERROR(VLOOKUP($B26,'発話マスタ'!$A:$K,K$8,0),"")</f>
        <v/>
      </c>
      <c r="L26" s="53" t="str">
        <f>IFERROR(VLOOKUP($B26,'発話マスタ'!$A:$K,L$8,0),"")</f>
        <v/>
      </c>
      <c r="M26" s="53" t="str">
        <f>IFERROR(VLOOKUP($B26,'発話マスタ'!$A:$K,M$8,0),"")</f>
        <v/>
      </c>
      <c r="N26" s="53"/>
      <c r="O26" s="53"/>
      <c r="P26" s="53"/>
      <c r="Q26" s="53"/>
      <c r="R26" s="53"/>
      <c r="S26" s="53"/>
      <c r="T26" s="53"/>
      <c r="U26" s="53"/>
      <c r="V26" s="53"/>
      <c r="W26" s="53"/>
      <c r="X26" s="53"/>
      <c r="Y26" s="53"/>
      <c r="Z26" s="53"/>
      <c r="AA26" s="88"/>
    </row>
    <row r="27" ht="15.75" customHeight="1">
      <c r="A27" s="86">
        <v>17.0</v>
      </c>
      <c r="B27" s="87"/>
      <c r="C27" s="53"/>
      <c r="D27" s="53" t="str">
        <f>IFERROR(VLOOKUP($B27,'発話マスタ'!$A:$K,D$8,0),"")</f>
        <v/>
      </c>
      <c r="E27" s="53" t="str">
        <f>IFERROR(VLOOKUP($B27,'発話マスタ'!$A:$K,E$8,0),"")</f>
        <v/>
      </c>
      <c r="F27" s="53" t="str">
        <f>IFERROR(VLOOKUP($B27,'発話マスタ'!$A:$K,F$8,0),"")</f>
        <v/>
      </c>
      <c r="G27" s="53" t="str">
        <f>IFERROR(VLOOKUP($B27,'発話マスタ'!$A:$K,G$8,0),"")</f>
        <v/>
      </c>
      <c r="H27" s="53" t="str">
        <f>IFERROR(VLOOKUP($B27,'発話マスタ'!$A:$K,H$8,0),"")</f>
        <v/>
      </c>
      <c r="I27" s="53" t="str">
        <f>IFERROR(VLOOKUP($B27,'発話マスタ'!$A:$K,I$8,0),"")</f>
        <v/>
      </c>
      <c r="J27" s="53" t="str">
        <f>IFERROR(VLOOKUP($B27,'発話マスタ'!$A:$K,J$8,0),"")</f>
        <v/>
      </c>
      <c r="K27" s="53" t="str">
        <f>IFERROR(VLOOKUP($B27,'発話マスタ'!$A:$K,K$8,0),"")</f>
        <v/>
      </c>
      <c r="L27" s="53" t="str">
        <f>IFERROR(VLOOKUP($B27,'発話マスタ'!$A:$K,L$8,0),"")</f>
        <v/>
      </c>
      <c r="M27" s="53" t="str">
        <f>IFERROR(VLOOKUP($B27,'発話マスタ'!$A:$K,M$8,0),"")</f>
        <v/>
      </c>
      <c r="N27" s="53"/>
      <c r="O27" s="53"/>
      <c r="P27" s="53"/>
      <c r="Q27" s="53"/>
      <c r="R27" s="53"/>
      <c r="S27" s="53"/>
      <c r="T27" s="53"/>
      <c r="U27" s="53"/>
      <c r="V27" s="53"/>
      <c r="W27" s="53"/>
      <c r="X27" s="53"/>
      <c r="Y27" s="53"/>
      <c r="Z27" s="53"/>
      <c r="AA27" s="88"/>
    </row>
    <row r="28" ht="15.75" customHeight="1">
      <c r="A28" s="86">
        <v>18.0</v>
      </c>
      <c r="B28" s="87"/>
      <c r="C28" s="53"/>
      <c r="D28" s="53" t="str">
        <f>IFERROR(VLOOKUP($B28,'発話マスタ'!$A:$K,D$8,0),"")</f>
        <v/>
      </c>
      <c r="E28" s="53" t="str">
        <f>IFERROR(VLOOKUP($B28,'発話マスタ'!$A:$K,E$8,0),"")</f>
        <v/>
      </c>
      <c r="F28" s="53" t="str">
        <f>IFERROR(VLOOKUP($B28,'発話マスタ'!$A:$K,F$8,0),"")</f>
        <v/>
      </c>
      <c r="G28" s="53" t="str">
        <f>IFERROR(VLOOKUP($B28,'発話マスタ'!$A:$K,G$8,0),"")</f>
        <v/>
      </c>
      <c r="H28" s="53" t="str">
        <f>IFERROR(VLOOKUP($B28,'発話マスタ'!$A:$K,H$8,0),"")</f>
        <v/>
      </c>
      <c r="I28" s="53" t="str">
        <f>IFERROR(VLOOKUP($B28,'発話マスタ'!$A:$K,I$8,0),"")</f>
        <v/>
      </c>
      <c r="J28" s="53" t="str">
        <f>IFERROR(VLOOKUP($B28,'発話マスタ'!$A:$K,J$8,0),"")</f>
        <v/>
      </c>
      <c r="K28" s="53" t="str">
        <f>IFERROR(VLOOKUP($B28,'発話マスタ'!$A:$K,K$8,0),"")</f>
        <v/>
      </c>
      <c r="L28" s="53" t="str">
        <f>IFERROR(VLOOKUP($B28,'発話マスタ'!$A:$K,L$8,0),"")</f>
        <v/>
      </c>
      <c r="M28" s="53" t="str">
        <f>IFERROR(VLOOKUP($B28,'発話マスタ'!$A:$K,M$8,0),"")</f>
        <v/>
      </c>
      <c r="N28" s="53"/>
      <c r="O28" s="53"/>
      <c r="P28" s="53"/>
      <c r="Q28" s="53"/>
      <c r="R28" s="53"/>
      <c r="S28" s="53"/>
      <c r="T28" s="53"/>
      <c r="U28" s="53"/>
      <c r="V28" s="53"/>
      <c r="W28" s="53"/>
      <c r="X28" s="53"/>
      <c r="Y28" s="53"/>
      <c r="Z28" s="53"/>
      <c r="AA28" s="88"/>
    </row>
    <row r="29" ht="15.75" customHeight="1">
      <c r="A29" s="86">
        <v>19.0</v>
      </c>
      <c r="B29" s="87"/>
      <c r="C29" s="53"/>
      <c r="D29" s="53" t="str">
        <f>IFERROR(VLOOKUP($B29,'発話マスタ'!$A:$K,D$8,0),"")</f>
        <v/>
      </c>
      <c r="E29" s="53" t="str">
        <f>IFERROR(VLOOKUP($B29,'発話マスタ'!$A:$K,E$8,0),"")</f>
        <v/>
      </c>
      <c r="F29" s="53" t="str">
        <f>IFERROR(VLOOKUP($B29,'発話マスタ'!$A:$K,F$8,0),"")</f>
        <v/>
      </c>
      <c r="G29" s="53" t="str">
        <f>IFERROR(VLOOKUP($B29,'発話マスタ'!$A:$K,G$8,0),"")</f>
        <v/>
      </c>
      <c r="H29" s="53" t="str">
        <f>IFERROR(VLOOKUP($B29,'発話マスタ'!$A:$K,H$8,0),"")</f>
        <v/>
      </c>
      <c r="I29" s="53" t="str">
        <f>IFERROR(VLOOKUP($B29,'発話マスタ'!$A:$K,I$8,0),"")</f>
        <v/>
      </c>
      <c r="J29" s="53" t="str">
        <f>IFERROR(VLOOKUP($B29,'発話マスタ'!$A:$K,J$8,0),"")</f>
        <v/>
      </c>
      <c r="K29" s="53" t="str">
        <f>IFERROR(VLOOKUP($B29,'発話マスタ'!$A:$K,K$8,0),"")</f>
        <v/>
      </c>
      <c r="L29" s="53" t="str">
        <f>IFERROR(VLOOKUP($B29,'発話マスタ'!$A:$K,L$8,0),"")</f>
        <v/>
      </c>
      <c r="M29" s="53" t="str">
        <f>IFERROR(VLOOKUP($B29,'発話マスタ'!$A:$K,M$8,0),"")</f>
        <v/>
      </c>
      <c r="N29" s="53"/>
      <c r="O29" s="53"/>
      <c r="P29" s="53"/>
      <c r="Q29" s="53"/>
      <c r="R29" s="53"/>
      <c r="S29" s="53"/>
      <c r="T29" s="53"/>
      <c r="U29" s="53"/>
      <c r="V29" s="53"/>
      <c r="W29" s="53"/>
      <c r="X29" s="53"/>
      <c r="Y29" s="53"/>
      <c r="Z29" s="53"/>
      <c r="AA29" s="88"/>
    </row>
    <row r="30" ht="15.75" customHeight="1">
      <c r="A30" s="86">
        <v>20.0</v>
      </c>
      <c r="B30" s="87"/>
      <c r="C30" s="53"/>
      <c r="D30" s="53" t="str">
        <f>IFERROR(VLOOKUP($B30,'発話マスタ'!$A:$K,D$8,0),"")</f>
        <v/>
      </c>
      <c r="E30" s="53" t="str">
        <f>IFERROR(VLOOKUP($B30,'発話マスタ'!$A:$K,E$8,0),"")</f>
        <v/>
      </c>
      <c r="F30" s="53" t="str">
        <f>IFERROR(VLOOKUP($B30,'発話マスタ'!$A:$K,F$8,0),"")</f>
        <v/>
      </c>
      <c r="G30" s="53" t="str">
        <f>IFERROR(VLOOKUP($B30,'発話マスタ'!$A:$K,G$8,0),"")</f>
        <v/>
      </c>
      <c r="H30" s="53" t="str">
        <f>IFERROR(VLOOKUP($B30,'発話マスタ'!$A:$K,H$8,0),"")</f>
        <v/>
      </c>
      <c r="I30" s="53" t="str">
        <f>IFERROR(VLOOKUP($B30,'発話マスタ'!$A:$K,I$8,0),"")</f>
        <v/>
      </c>
      <c r="J30" s="53" t="str">
        <f>IFERROR(VLOOKUP($B30,'発話マスタ'!$A:$K,J$8,0),"")</f>
        <v/>
      </c>
      <c r="K30" s="53" t="str">
        <f>IFERROR(VLOOKUP($B30,'発話マスタ'!$A:$K,K$8,0),"")</f>
        <v/>
      </c>
      <c r="L30" s="53" t="str">
        <f>IFERROR(VLOOKUP($B30,'発話マスタ'!$A:$K,L$8,0),"")</f>
        <v/>
      </c>
      <c r="M30" s="53" t="str">
        <f>IFERROR(VLOOKUP($B30,'発話マスタ'!$A:$K,M$8,0),"")</f>
        <v/>
      </c>
      <c r="N30" s="53"/>
      <c r="O30" s="53"/>
      <c r="P30" s="53"/>
      <c r="Q30" s="53"/>
      <c r="R30" s="53"/>
      <c r="S30" s="53"/>
      <c r="T30" s="53"/>
      <c r="U30" s="53"/>
      <c r="V30" s="53"/>
      <c r="W30" s="53"/>
      <c r="X30" s="53"/>
      <c r="Y30" s="53"/>
      <c r="Z30" s="53"/>
      <c r="AA30" s="88"/>
    </row>
    <row r="31" ht="15.75" customHeight="1">
      <c r="A31" s="86">
        <v>21.0</v>
      </c>
      <c r="B31" s="87"/>
      <c r="C31" s="53"/>
      <c r="D31" s="53" t="str">
        <f>IFERROR(VLOOKUP($B31,'発話マスタ'!$A:$K,D$8,0),"")</f>
        <v/>
      </c>
      <c r="E31" s="53" t="str">
        <f>IFERROR(VLOOKUP($B31,'発話マスタ'!$A:$K,E$8,0),"")</f>
        <v/>
      </c>
      <c r="F31" s="53" t="str">
        <f>IFERROR(VLOOKUP($B31,'発話マスタ'!$A:$K,F$8,0),"")</f>
        <v/>
      </c>
      <c r="G31" s="53" t="str">
        <f>IFERROR(VLOOKUP($B31,'発話マスタ'!$A:$K,G$8,0),"")</f>
        <v/>
      </c>
      <c r="H31" s="53" t="str">
        <f>IFERROR(VLOOKUP($B31,'発話マスタ'!$A:$K,H$8,0),"")</f>
        <v/>
      </c>
      <c r="I31" s="53" t="str">
        <f>IFERROR(VLOOKUP($B31,'発話マスタ'!$A:$K,I$8,0),"")</f>
        <v/>
      </c>
      <c r="J31" s="53" t="str">
        <f>IFERROR(VLOOKUP($B31,'発話マスタ'!$A:$K,J$8,0),"")</f>
        <v/>
      </c>
      <c r="K31" s="53" t="str">
        <f>IFERROR(VLOOKUP($B31,'発話マスタ'!$A:$K,K$8,0),"")</f>
        <v/>
      </c>
      <c r="L31" s="53" t="str">
        <f>IFERROR(VLOOKUP($B31,'発話マスタ'!$A:$K,L$8,0),"")</f>
        <v/>
      </c>
      <c r="M31" s="53" t="str">
        <f>IFERROR(VLOOKUP($B31,'発話マスタ'!$A:$K,M$8,0),"")</f>
        <v/>
      </c>
      <c r="N31" s="53"/>
      <c r="O31" s="53"/>
      <c r="P31" s="53"/>
      <c r="Q31" s="53"/>
      <c r="R31" s="53"/>
      <c r="S31" s="53"/>
      <c r="T31" s="53"/>
      <c r="U31" s="53"/>
      <c r="V31" s="53"/>
      <c r="W31" s="53"/>
      <c r="X31" s="53"/>
      <c r="Y31" s="53"/>
      <c r="Z31" s="53"/>
      <c r="AA31" s="88"/>
    </row>
    <row r="32" ht="15.75" customHeight="1">
      <c r="A32" s="86">
        <v>22.0</v>
      </c>
      <c r="B32" s="87"/>
      <c r="C32" s="53"/>
      <c r="D32" s="53" t="str">
        <f>IFERROR(VLOOKUP($B32,'発話マスタ'!$A:$K,D$8,0),"")</f>
        <v/>
      </c>
      <c r="E32" s="53" t="str">
        <f>IFERROR(VLOOKUP($B32,'発話マスタ'!$A:$K,E$8,0),"")</f>
        <v/>
      </c>
      <c r="F32" s="53" t="str">
        <f>IFERROR(VLOOKUP($B32,'発話マスタ'!$A:$K,F$8,0),"")</f>
        <v/>
      </c>
      <c r="G32" s="53" t="str">
        <f>IFERROR(VLOOKUP($B32,'発話マスタ'!$A:$K,G$8,0),"")</f>
        <v/>
      </c>
      <c r="H32" s="53" t="str">
        <f>IFERROR(VLOOKUP($B32,'発話マスタ'!$A:$K,H$8,0),"")</f>
        <v/>
      </c>
      <c r="I32" s="53" t="str">
        <f>IFERROR(VLOOKUP($B32,'発話マスタ'!$A:$K,I$8,0),"")</f>
        <v/>
      </c>
      <c r="J32" s="53" t="str">
        <f>IFERROR(VLOOKUP($B32,'発話マスタ'!$A:$K,J$8,0),"")</f>
        <v/>
      </c>
      <c r="K32" s="53" t="str">
        <f>IFERROR(VLOOKUP($B32,'発話マスタ'!$A:$K,K$8,0),"")</f>
        <v/>
      </c>
      <c r="L32" s="53" t="str">
        <f>IFERROR(VLOOKUP($B32,'発話マスタ'!$A:$K,L$8,0),"")</f>
        <v/>
      </c>
      <c r="M32" s="53" t="str">
        <f>IFERROR(VLOOKUP($B32,'発話マスタ'!$A:$K,M$8,0),"")</f>
        <v/>
      </c>
      <c r="N32" s="53"/>
      <c r="O32" s="53"/>
      <c r="P32" s="53"/>
      <c r="Q32" s="53"/>
      <c r="R32" s="53"/>
      <c r="S32" s="53"/>
      <c r="T32" s="53"/>
      <c r="U32" s="53"/>
      <c r="V32" s="53"/>
      <c r="W32" s="53"/>
      <c r="X32" s="53"/>
      <c r="Y32" s="53"/>
      <c r="Z32" s="53"/>
      <c r="AA32" s="88"/>
    </row>
    <row r="33" ht="15.75" customHeight="1">
      <c r="A33" s="86">
        <v>23.0</v>
      </c>
      <c r="B33" s="87"/>
      <c r="C33" s="53"/>
      <c r="D33" s="53" t="str">
        <f>IFERROR(VLOOKUP($B33,'発話マスタ'!$A:$K,D$8,0),"")</f>
        <v/>
      </c>
      <c r="E33" s="53" t="str">
        <f>IFERROR(VLOOKUP($B33,'発話マスタ'!$A:$K,E$8,0),"")</f>
        <v/>
      </c>
      <c r="F33" s="53" t="str">
        <f>IFERROR(VLOOKUP($B33,'発話マスタ'!$A:$K,F$8,0),"")</f>
        <v/>
      </c>
      <c r="G33" s="53" t="str">
        <f>IFERROR(VLOOKUP($B33,'発話マスタ'!$A:$K,G$8,0),"")</f>
        <v/>
      </c>
      <c r="H33" s="53" t="str">
        <f>IFERROR(VLOOKUP($B33,'発話マスタ'!$A:$K,H$8,0),"")</f>
        <v/>
      </c>
      <c r="I33" s="53" t="str">
        <f>IFERROR(VLOOKUP($B33,'発話マスタ'!$A:$K,I$8,0),"")</f>
        <v/>
      </c>
      <c r="J33" s="53" t="str">
        <f>IFERROR(VLOOKUP($B33,'発話マスタ'!$A:$K,J$8,0),"")</f>
        <v/>
      </c>
      <c r="K33" s="53" t="str">
        <f>IFERROR(VLOOKUP($B33,'発話マスタ'!$A:$K,K$8,0),"")</f>
        <v/>
      </c>
      <c r="L33" s="53" t="str">
        <f>IFERROR(VLOOKUP($B33,'発話マスタ'!$A:$K,L$8,0),"")</f>
        <v/>
      </c>
      <c r="M33" s="53" t="str">
        <f>IFERROR(VLOOKUP($B33,'発話マスタ'!$A:$K,M$8,0),"")</f>
        <v/>
      </c>
      <c r="N33" s="53"/>
      <c r="O33" s="53"/>
      <c r="P33" s="53"/>
      <c r="Q33" s="53"/>
      <c r="R33" s="53"/>
      <c r="S33" s="53"/>
      <c r="T33" s="53"/>
      <c r="U33" s="53"/>
      <c r="V33" s="53"/>
      <c r="W33" s="53"/>
      <c r="X33" s="53"/>
      <c r="Y33" s="53"/>
      <c r="Z33" s="53"/>
      <c r="AA33" s="88"/>
    </row>
    <row r="34" ht="15.75" customHeight="1">
      <c r="A34" s="86">
        <v>24.0</v>
      </c>
      <c r="B34" s="87"/>
      <c r="C34" s="53"/>
      <c r="D34" s="53" t="str">
        <f>IFERROR(VLOOKUP($B34,'発話マスタ'!$A:$K,D$8,0),"")</f>
        <v/>
      </c>
      <c r="E34" s="53" t="str">
        <f>IFERROR(VLOOKUP($B34,'発話マスタ'!$A:$K,E$8,0),"")</f>
        <v/>
      </c>
      <c r="F34" s="53" t="str">
        <f>IFERROR(VLOOKUP($B34,'発話マスタ'!$A:$K,F$8,0),"")</f>
        <v/>
      </c>
      <c r="G34" s="53" t="str">
        <f>IFERROR(VLOOKUP($B34,'発話マスタ'!$A:$K,G$8,0),"")</f>
        <v/>
      </c>
      <c r="H34" s="53" t="str">
        <f>IFERROR(VLOOKUP($B34,'発話マスタ'!$A:$K,H$8,0),"")</f>
        <v/>
      </c>
      <c r="I34" s="53" t="str">
        <f>IFERROR(VLOOKUP($B34,'発話マスタ'!$A:$K,I$8,0),"")</f>
        <v/>
      </c>
      <c r="J34" s="53" t="str">
        <f>IFERROR(VLOOKUP($B34,'発話マスタ'!$A:$K,J$8,0),"")</f>
        <v/>
      </c>
      <c r="K34" s="53" t="str">
        <f>IFERROR(VLOOKUP($B34,'発話マスタ'!$A:$K,K$8,0),"")</f>
        <v/>
      </c>
      <c r="L34" s="53" t="str">
        <f>IFERROR(VLOOKUP($B34,'発話マスタ'!$A:$K,L$8,0),"")</f>
        <v/>
      </c>
      <c r="M34" s="53" t="str">
        <f>IFERROR(VLOOKUP($B34,'発話マスタ'!$A:$K,M$8,0),"")</f>
        <v/>
      </c>
      <c r="N34" s="53"/>
      <c r="O34" s="53"/>
      <c r="P34" s="53"/>
      <c r="Q34" s="53"/>
      <c r="R34" s="53"/>
      <c r="S34" s="53"/>
      <c r="T34" s="53"/>
      <c r="U34" s="53"/>
      <c r="V34" s="53"/>
      <c r="W34" s="53"/>
      <c r="X34" s="53"/>
      <c r="Y34" s="53"/>
      <c r="Z34" s="53"/>
      <c r="AA34" s="88"/>
    </row>
    <row r="35" ht="15.75" customHeight="1">
      <c r="A35" s="86">
        <v>25.0</v>
      </c>
      <c r="B35" s="87"/>
      <c r="C35" s="53"/>
      <c r="D35" s="53" t="str">
        <f>IFERROR(VLOOKUP($B35,'発話マスタ'!$A:$K,D$8,0),"")</f>
        <v/>
      </c>
      <c r="E35" s="53" t="str">
        <f>IFERROR(VLOOKUP($B35,'発話マスタ'!$A:$K,E$8,0),"")</f>
        <v/>
      </c>
      <c r="F35" s="53" t="str">
        <f>IFERROR(VLOOKUP($B35,'発話マスタ'!$A:$K,F$8,0),"")</f>
        <v/>
      </c>
      <c r="G35" s="53" t="str">
        <f>IFERROR(VLOOKUP($B35,'発話マスタ'!$A:$K,G$8,0),"")</f>
        <v/>
      </c>
      <c r="H35" s="53" t="str">
        <f>IFERROR(VLOOKUP($B35,'発話マスタ'!$A:$K,H$8,0),"")</f>
        <v/>
      </c>
      <c r="I35" s="53" t="str">
        <f>IFERROR(VLOOKUP($B35,'発話マスタ'!$A:$K,I$8,0),"")</f>
        <v/>
      </c>
      <c r="J35" s="53" t="str">
        <f>IFERROR(VLOOKUP($B35,'発話マスタ'!$A:$K,J$8,0),"")</f>
        <v/>
      </c>
      <c r="K35" s="53" t="str">
        <f>IFERROR(VLOOKUP($B35,'発話マスタ'!$A:$K,K$8,0),"")</f>
        <v/>
      </c>
      <c r="L35" s="53" t="str">
        <f>IFERROR(VLOOKUP($B35,'発話マスタ'!$A:$K,L$8,0),"")</f>
        <v/>
      </c>
      <c r="M35" s="53" t="str">
        <f>IFERROR(VLOOKUP($B35,'発話マスタ'!$A:$K,M$8,0),"")</f>
        <v/>
      </c>
      <c r="N35" s="53"/>
      <c r="O35" s="53"/>
      <c r="P35" s="53"/>
      <c r="Q35" s="53"/>
      <c r="R35" s="53"/>
      <c r="S35" s="53"/>
      <c r="T35" s="53"/>
      <c r="U35" s="53"/>
      <c r="V35" s="53"/>
      <c r="W35" s="53"/>
      <c r="X35" s="53"/>
      <c r="Y35" s="53"/>
      <c r="Z35" s="53"/>
      <c r="AA35" s="88"/>
    </row>
    <row r="36" ht="15.75" customHeight="1">
      <c r="A36" s="86">
        <v>26.0</v>
      </c>
      <c r="B36" s="87"/>
      <c r="C36" s="53"/>
      <c r="D36" s="53" t="str">
        <f>IFERROR(VLOOKUP($B36,'発話マスタ'!$A:$K,D$8,0),"")</f>
        <v/>
      </c>
      <c r="E36" s="53" t="str">
        <f>IFERROR(VLOOKUP($B36,'発話マスタ'!$A:$K,E$8,0),"")</f>
        <v/>
      </c>
      <c r="F36" s="53" t="str">
        <f>IFERROR(VLOOKUP($B36,'発話マスタ'!$A:$K,F$8,0),"")</f>
        <v/>
      </c>
      <c r="G36" s="53" t="str">
        <f>IFERROR(VLOOKUP($B36,'発話マスタ'!$A:$K,G$8,0),"")</f>
        <v/>
      </c>
      <c r="H36" s="53" t="str">
        <f>IFERROR(VLOOKUP($B36,'発話マスタ'!$A:$K,H$8,0),"")</f>
        <v/>
      </c>
      <c r="I36" s="53" t="str">
        <f>IFERROR(VLOOKUP($B36,'発話マスタ'!$A:$K,I$8,0),"")</f>
        <v/>
      </c>
      <c r="J36" s="53" t="str">
        <f>IFERROR(VLOOKUP($B36,'発話マスタ'!$A:$K,J$8,0),"")</f>
        <v/>
      </c>
      <c r="K36" s="53" t="str">
        <f>IFERROR(VLOOKUP($B36,'発話マスタ'!$A:$K,K$8,0),"")</f>
        <v/>
      </c>
      <c r="L36" s="53" t="str">
        <f>IFERROR(VLOOKUP($B36,'発話マスタ'!$A:$K,L$8,0),"")</f>
        <v/>
      </c>
      <c r="M36" s="53" t="str">
        <f>IFERROR(VLOOKUP($B36,'発話マスタ'!$A:$K,M$8,0),"")</f>
        <v/>
      </c>
      <c r="N36" s="53"/>
      <c r="O36" s="53"/>
      <c r="P36" s="53"/>
      <c r="Q36" s="53"/>
      <c r="R36" s="53"/>
      <c r="S36" s="53"/>
      <c r="T36" s="53"/>
      <c r="U36" s="53"/>
      <c r="V36" s="53"/>
      <c r="W36" s="53"/>
      <c r="X36" s="53"/>
      <c r="Y36" s="53"/>
      <c r="Z36" s="53"/>
      <c r="AA36" s="88"/>
    </row>
    <row r="37" ht="15.75" customHeight="1">
      <c r="A37" s="86">
        <v>27.0</v>
      </c>
      <c r="B37" s="87"/>
      <c r="C37" s="53"/>
      <c r="D37" s="53" t="str">
        <f>IFERROR(VLOOKUP($B37,'発話マスタ'!$A:$K,D$8,0),"")</f>
        <v/>
      </c>
      <c r="E37" s="53" t="str">
        <f>IFERROR(VLOOKUP($B37,'発話マスタ'!$A:$K,E$8,0),"")</f>
        <v/>
      </c>
      <c r="F37" s="53" t="str">
        <f>IFERROR(VLOOKUP($B37,'発話マスタ'!$A:$K,F$8,0),"")</f>
        <v/>
      </c>
      <c r="G37" s="53" t="str">
        <f>IFERROR(VLOOKUP($B37,'発話マスタ'!$A:$K,G$8,0),"")</f>
        <v/>
      </c>
      <c r="H37" s="53" t="str">
        <f>IFERROR(VLOOKUP($B37,'発話マスタ'!$A:$K,H$8,0),"")</f>
        <v/>
      </c>
      <c r="I37" s="53" t="str">
        <f>IFERROR(VLOOKUP($B37,'発話マスタ'!$A:$K,I$8,0),"")</f>
        <v/>
      </c>
      <c r="J37" s="53" t="str">
        <f>IFERROR(VLOOKUP($B37,'発話マスタ'!$A:$K,J$8,0),"")</f>
        <v/>
      </c>
      <c r="K37" s="53" t="str">
        <f>IFERROR(VLOOKUP($B37,'発話マスタ'!$A:$K,K$8,0),"")</f>
        <v/>
      </c>
      <c r="L37" s="53" t="str">
        <f>IFERROR(VLOOKUP($B37,'発話マスタ'!$A:$K,L$8,0),"")</f>
        <v/>
      </c>
      <c r="M37" s="53" t="str">
        <f>IFERROR(VLOOKUP($B37,'発話マスタ'!$A:$K,M$8,0),"")</f>
        <v/>
      </c>
      <c r="N37" s="53"/>
      <c r="O37" s="53"/>
      <c r="P37" s="53"/>
      <c r="Q37" s="53"/>
      <c r="R37" s="53"/>
      <c r="S37" s="53"/>
      <c r="T37" s="53"/>
      <c r="U37" s="53"/>
      <c r="V37" s="53"/>
      <c r="W37" s="53"/>
      <c r="X37" s="53"/>
      <c r="Y37" s="53"/>
      <c r="Z37" s="53"/>
      <c r="AA37" s="88"/>
    </row>
    <row r="38" ht="15.75" customHeight="1">
      <c r="A38" s="86">
        <v>28.0</v>
      </c>
      <c r="B38" s="87"/>
      <c r="C38" s="53"/>
      <c r="D38" s="53" t="str">
        <f>IFERROR(VLOOKUP($B38,'発話マスタ'!$A:$K,D$8,0),"")</f>
        <v/>
      </c>
      <c r="E38" s="53" t="str">
        <f>IFERROR(VLOOKUP($B38,'発話マスタ'!$A:$K,E$8,0),"")</f>
        <v/>
      </c>
      <c r="F38" s="53" t="str">
        <f>IFERROR(VLOOKUP($B38,'発話マスタ'!$A:$K,F$8,0),"")</f>
        <v/>
      </c>
      <c r="G38" s="53" t="str">
        <f>IFERROR(VLOOKUP($B38,'発話マスタ'!$A:$K,G$8,0),"")</f>
        <v/>
      </c>
      <c r="H38" s="53" t="str">
        <f>IFERROR(VLOOKUP($B38,'発話マスタ'!$A:$K,H$8,0),"")</f>
        <v/>
      </c>
      <c r="I38" s="53" t="str">
        <f>IFERROR(VLOOKUP($B38,'発話マスタ'!$A:$K,I$8,0),"")</f>
        <v/>
      </c>
      <c r="J38" s="53" t="str">
        <f>IFERROR(VLOOKUP($B38,'発話マスタ'!$A:$K,J$8,0),"")</f>
        <v/>
      </c>
      <c r="K38" s="53" t="str">
        <f>IFERROR(VLOOKUP($B38,'発話マスタ'!$A:$K,K$8,0),"")</f>
        <v/>
      </c>
      <c r="L38" s="53" t="str">
        <f>IFERROR(VLOOKUP($B38,'発話マスタ'!$A:$K,L$8,0),"")</f>
        <v/>
      </c>
      <c r="M38" s="53" t="str">
        <f>IFERROR(VLOOKUP($B38,'発話マスタ'!$A:$K,M$8,0),"")</f>
        <v/>
      </c>
      <c r="N38" s="53"/>
      <c r="O38" s="53"/>
      <c r="P38" s="53"/>
      <c r="Q38" s="53"/>
      <c r="R38" s="53"/>
      <c r="S38" s="53"/>
      <c r="T38" s="53"/>
      <c r="U38" s="53"/>
      <c r="V38" s="53"/>
      <c r="W38" s="53"/>
      <c r="X38" s="53"/>
      <c r="Y38" s="53"/>
      <c r="Z38" s="53"/>
      <c r="AA38" s="88"/>
    </row>
    <row r="39" ht="15.75" customHeight="1">
      <c r="A39" s="86">
        <v>29.0</v>
      </c>
      <c r="B39" s="87"/>
      <c r="C39" s="53"/>
      <c r="D39" s="53" t="str">
        <f>IFERROR(VLOOKUP($B39,'発話マスタ'!$A:$K,D$8,0),"")</f>
        <v/>
      </c>
      <c r="E39" s="53" t="str">
        <f>IFERROR(VLOOKUP($B39,'発話マスタ'!$A:$K,E$8,0),"")</f>
        <v/>
      </c>
      <c r="F39" s="53" t="str">
        <f>IFERROR(VLOOKUP($B39,'発話マスタ'!$A:$K,F$8,0),"")</f>
        <v/>
      </c>
      <c r="G39" s="53" t="str">
        <f>IFERROR(VLOOKUP($B39,'発話マスタ'!$A:$K,G$8,0),"")</f>
        <v/>
      </c>
      <c r="H39" s="53" t="str">
        <f>IFERROR(VLOOKUP($B39,'発話マスタ'!$A:$K,H$8,0),"")</f>
        <v/>
      </c>
      <c r="I39" s="53" t="str">
        <f>IFERROR(VLOOKUP($B39,'発話マスタ'!$A:$K,I$8,0),"")</f>
        <v/>
      </c>
      <c r="J39" s="53" t="str">
        <f>IFERROR(VLOOKUP($B39,'発話マスタ'!$A:$K,J$8,0),"")</f>
        <v/>
      </c>
      <c r="K39" s="53" t="str">
        <f>IFERROR(VLOOKUP($B39,'発話マスタ'!$A:$K,K$8,0),"")</f>
        <v/>
      </c>
      <c r="L39" s="53" t="str">
        <f>IFERROR(VLOOKUP($B39,'発話マスタ'!$A:$K,L$8,0),"")</f>
        <v/>
      </c>
      <c r="M39" s="53" t="str">
        <f>IFERROR(VLOOKUP($B39,'発話マスタ'!$A:$K,M$8,0),"")</f>
        <v/>
      </c>
      <c r="N39" s="53"/>
      <c r="O39" s="53"/>
      <c r="P39" s="53"/>
      <c r="Q39" s="53"/>
      <c r="R39" s="53"/>
      <c r="S39" s="53"/>
      <c r="T39" s="53"/>
      <c r="U39" s="53"/>
      <c r="V39" s="53"/>
      <c r="W39" s="53"/>
      <c r="X39" s="53"/>
      <c r="Y39" s="53"/>
      <c r="Z39" s="53"/>
      <c r="AA39" s="88"/>
    </row>
    <row r="40" ht="15.75" customHeight="1">
      <c r="A40" s="86">
        <v>30.0</v>
      </c>
      <c r="B40" s="87"/>
      <c r="C40" s="53"/>
      <c r="D40" s="53" t="str">
        <f>IFERROR(VLOOKUP($B40,'発話マスタ'!$A:$K,D$8,0),"")</f>
        <v/>
      </c>
      <c r="E40" s="53" t="str">
        <f>IFERROR(VLOOKUP($B40,'発話マスタ'!$A:$K,E$8,0),"")</f>
        <v/>
      </c>
      <c r="F40" s="53" t="str">
        <f>IFERROR(VLOOKUP($B40,'発話マスタ'!$A:$K,F$8,0),"")</f>
        <v/>
      </c>
      <c r="G40" s="53" t="str">
        <f>IFERROR(VLOOKUP($B40,'発話マスタ'!$A:$K,G$8,0),"")</f>
        <v/>
      </c>
      <c r="H40" s="53" t="str">
        <f>IFERROR(VLOOKUP($B40,'発話マスタ'!$A:$K,H$8,0),"")</f>
        <v/>
      </c>
      <c r="I40" s="53" t="str">
        <f>IFERROR(VLOOKUP($B40,'発話マスタ'!$A:$K,I$8,0),"")</f>
        <v/>
      </c>
      <c r="J40" s="53" t="str">
        <f>IFERROR(VLOOKUP($B40,'発話マスタ'!$A:$K,J$8,0),"")</f>
        <v/>
      </c>
      <c r="K40" s="53" t="str">
        <f>IFERROR(VLOOKUP($B40,'発話マスタ'!$A:$K,K$8,0),"")</f>
        <v/>
      </c>
      <c r="L40" s="53" t="str">
        <f>IFERROR(VLOOKUP($B40,'発話マスタ'!$A:$K,L$8,0),"")</f>
        <v/>
      </c>
      <c r="M40" s="53" t="str">
        <f>IFERROR(VLOOKUP($B40,'発話マスタ'!$A:$K,M$8,0),"")</f>
        <v/>
      </c>
      <c r="N40" s="53"/>
      <c r="O40" s="53"/>
      <c r="P40" s="53"/>
      <c r="Q40" s="53"/>
      <c r="R40" s="53"/>
      <c r="S40" s="53"/>
      <c r="T40" s="53"/>
      <c r="U40" s="53"/>
      <c r="V40" s="53"/>
      <c r="W40" s="53"/>
      <c r="X40" s="53"/>
      <c r="Y40" s="53"/>
      <c r="Z40" s="53"/>
      <c r="AA40" s="88"/>
    </row>
    <row r="41" ht="15.75" customHeight="1">
      <c r="A41" s="86">
        <v>31.0</v>
      </c>
      <c r="B41" s="87"/>
      <c r="C41" s="53"/>
      <c r="D41" s="53" t="str">
        <f>IFERROR(VLOOKUP($B41,'発話マスタ'!$A:$K,D$8,0),"")</f>
        <v/>
      </c>
      <c r="E41" s="53" t="str">
        <f>IFERROR(VLOOKUP($B41,'発話マスタ'!$A:$K,E$8,0),"")</f>
        <v/>
      </c>
      <c r="F41" s="53" t="str">
        <f>IFERROR(VLOOKUP($B41,'発話マスタ'!$A:$K,F$8,0),"")</f>
        <v/>
      </c>
      <c r="G41" s="53" t="str">
        <f>IFERROR(VLOOKUP($B41,'発話マスタ'!$A:$K,G$8,0),"")</f>
        <v/>
      </c>
      <c r="H41" s="53" t="str">
        <f>IFERROR(VLOOKUP($B41,'発話マスタ'!$A:$K,H$8,0),"")</f>
        <v/>
      </c>
      <c r="I41" s="53" t="str">
        <f>IFERROR(VLOOKUP($B41,'発話マスタ'!$A:$K,I$8,0),"")</f>
        <v/>
      </c>
      <c r="J41" s="53" t="str">
        <f>IFERROR(VLOOKUP($B41,'発話マスタ'!$A:$K,J$8,0),"")</f>
        <v/>
      </c>
      <c r="K41" s="53" t="str">
        <f>IFERROR(VLOOKUP($B41,'発話マスタ'!$A:$K,K$8,0),"")</f>
        <v/>
      </c>
      <c r="L41" s="53" t="str">
        <f>IFERROR(VLOOKUP($B41,'発話マスタ'!$A:$K,L$8,0),"")</f>
        <v/>
      </c>
      <c r="M41" s="53" t="str">
        <f>IFERROR(VLOOKUP($B41,'発話マスタ'!$A:$K,M$8,0),"")</f>
        <v/>
      </c>
      <c r="N41" s="53"/>
      <c r="O41" s="53"/>
      <c r="P41" s="53"/>
      <c r="Q41" s="53"/>
      <c r="R41" s="53"/>
      <c r="S41" s="53"/>
      <c r="T41" s="53"/>
      <c r="U41" s="53"/>
      <c r="V41" s="53"/>
      <c r="W41" s="53"/>
      <c r="X41" s="53"/>
      <c r="Y41" s="53"/>
      <c r="Z41" s="53"/>
      <c r="AA41" s="88"/>
    </row>
    <row r="42" ht="15.75" customHeight="1">
      <c r="A42" s="86">
        <v>32.0</v>
      </c>
      <c r="B42" s="87"/>
      <c r="C42" s="53"/>
      <c r="D42" s="53" t="str">
        <f>IFERROR(VLOOKUP($B42,'発話マスタ'!$A:$K,D$8,0),"")</f>
        <v/>
      </c>
      <c r="E42" s="53" t="str">
        <f>IFERROR(VLOOKUP($B42,'発話マスタ'!$A:$K,E$8,0),"")</f>
        <v/>
      </c>
      <c r="F42" s="53" t="str">
        <f>IFERROR(VLOOKUP($B42,'発話マスタ'!$A:$K,F$8,0),"")</f>
        <v/>
      </c>
      <c r="G42" s="53" t="str">
        <f>IFERROR(VLOOKUP($B42,'発話マスタ'!$A:$K,G$8,0),"")</f>
        <v/>
      </c>
      <c r="H42" s="53" t="str">
        <f>IFERROR(VLOOKUP($B42,'発話マスタ'!$A:$K,H$8,0),"")</f>
        <v/>
      </c>
      <c r="I42" s="53" t="str">
        <f>IFERROR(VLOOKUP($B42,'発話マスタ'!$A:$K,I$8,0),"")</f>
        <v/>
      </c>
      <c r="J42" s="53" t="str">
        <f>IFERROR(VLOOKUP($B42,'発話マスタ'!$A:$K,J$8,0),"")</f>
        <v/>
      </c>
      <c r="K42" s="53" t="str">
        <f>IFERROR(VLOOKUP($B42,'発話マスタ'!$A:$K,K$8,0),"")</f>
        <v/>
      </c>
      <c r="L42" s="53" t="str">
        <f>IFERROR(VLOOKUP($B42,'発話マスタ'!$A:$K,L$8,0),"")</f>
        <v/>
      </c>
      <c r="M42" s="53" t="str">
        <f>IFERROR(VLOOKUP($B42,'発話マスタ'!$A:$K,M$8,0),"")</f>
        <v/>
      </c>
      <c r="N42" s="53"/>
      <c r="O42" s="53"/>
      <c r="P42" s="53"/>
      <c r="Q42" s="53"/>
      <c r="R42" s="53"/>
      <c r="S42" s="53"/>
      <c r="T42" s="53"/>
      <c r="U42" s="53"/>
      <c r="V42" s="53"/>
      <c r="W42" s="53"/>
      <c r="X42" s="53"/>
      <c r="Y42" s="53"/>
      <c r="Z42" s="53"/>
      <c r="AA42" s="88"/>
    </row>
    <row r="43" ht="15.75" customHeight="1">
      <c r="A43" s="86">
        <v>33.0</v>
      </c>
      <c r="B43" s="87"/>
      <c r="C43" s="53"/>
      <c r="D43" s="53" t="str">
        <f>IFERROR(VLOOKUP($B43,'発話マスタ'!$A:$K,D$8,0),"")</f>
        <v/>
      </c>
      <c r="E43" s="53" t="str">
        <f>IFERROR(VLOOKUP($B43,'発話マスタ'!$A:$K,E$8,0),"")</f>
        <v/>
      </c>
      <c r="F43" s="53" t="str">
        <f>IFERROR(VLOOKUP($B43,'発話マスタ'!$A:$K,F$8,0),"")</f>
        <v/>
      </c>
      <c r="G43" s="53" t="str">
        <f>IFERROR(VLOOKUP($B43,'発話マスタ'!$A:$K,G$8,0),"")</f>
        <v/>
      </c>
      <c r="H43" s="53" t="str">
        <f>IFERROR(VLOOKUP($B43,'発話マスタ'!$A:$K,H$8,0),"")</f>
        <v/>
      </c>
      <c r="I43" s="53" t="str">
        <f>IFERROR(VLOOKUP($B43,'発話マスタ'!$A:$K,I$8,0),"")</f>
        <v/>
      </c>
      <c r="J43" s="53" t="str">
        <f>IFERROR(VLOOKUP($B43,'発話マスタ'!$A:$K,J$8,0),"")</f>
        <v/>
      </c>
      <c r="K43" s="53" t="str">
        <f>IFERROR(VLOOKUP($B43,'発話マスタ'!$A:$K,K$8,0),"")</f>
        <v/>
      </c>
      <c r="L43" s="53" t="str">
        <f>IFERROR(VLOOKUP($B43,'発話マスタ'!$A:$K,L$8,0),"")</f>
        <v/>
      </c>
      <c r="M43" s="53" t="str">
        <f>IFERROR(VLOOKUP($B43,'発話マスタ'!$A:$K,M$8,0),"")</f>
        <v/>
      </c>
      <c r="N43" s="53"/>
      <c r="O43" s="53"/>
      <c r="P43" s="53"/>
      <c r="Q43" s="53"/>
      <c r="R43" s="53"/>
      <c r="S43" s="53"/>
      <c r="T43" s="53"/>
      <c r="U43" s="53"/>
      <c r="V43" s="53"/>
      <c r="W43" s="53"/>
      <c r="X43" s="53"/>
      <c r="Y43" s="53"/>
      <c r="Z43" s="53"/>
      <c r="AA43" s="88"/>
    </row>
    <row r="44" ht="15.75" customHeight="1">
      <c r="A44" s="86">
        <v>34.0</v>
      </c>
      <c r="B44" s="87"/>
      <c r="C44" s="53"/>
      <c r="D44" s="53" t="str">
        <f>IFERROR(VLOOKUP($B44,'発話マスタ'!$A:$K,D$8,0),"")</f>
        <v/>
      </c>
      <c r="E44" s="53" t="str">
        <f>IFERROR(VLOOKUP($B44,'発話マスタ'!$A:$K,E$8,0),"")</f>
        <v/>
      </c>
      <c r="F44" s="53" t="str">
        <f>IFERROR(VLOOKUP($B44,'発話マスタ'!$A:$K,F$8,0),"")</f>
        <v/>
      </c>
      <c r="G44" s="53" t="str">
        <f>IFERROR(VLOOKUP($B44,'発話マスタ'!$A:$K,G$8,0),"")</f>
        <v/>
      </c>
      <c r="H44" s="53" t="str">
        <f>IFERROR(VLOOKUP($B44,'発話マスタ'!$A:$K,H$8,0),"")</f>
        <v/>
      </c>
      <c r="I44" s="53" t="str">
        <f>IFERROR(VLOOKUP($B44,'発話マスタ'!$A:$K,I$8,0),"")</f>
        <v/>
      </c>
      <c r="J44" s="53" t="str">
        <f>IFERROR(VLOOKUP($B44,'発話マスタ'!$A:$K,J$8,0),"")</f>
        <v/>
      </c>
      <c r="K44" s="53" t="str">
        <f>IFERROR(VLOOKUP($B44,'発話マスタ'!$A:$K,K$8,0),"")</f>
        <v/>
      </c>
      <c r="L44" s="53" t="str">
        <f>IFERROR(VLOOKUP($B44,'発話マスタ'!$A:$K,L$8,0),"")</f>
        <v/>
      </c>
      <c r="M44" s="53" t="str">
        <f>IFERROR(VLOOKUP($B44,'発話マスタ'!$A:$K,M$8,0),"")</f>
        <v/>
      </c>
      <c r="N44" s="53"/>
      <c r="O44" s="53"/>
      <c r="P44" s="53"/>
      <c r="Q44" s="53"/>
      <c r="R44" s="53"/>
      <c r="S44" s="53"/>
      <c r="T44" s="53"/>
      <c r="U44" s="53"/>
      <c r="V44" s="53"/>
      <c r="W44" s="53"/>
      <c r="X44" s="53"/>
      <c r="Y44" s="53"/>
      <c r="Z44" s="53"/>
      <c r="AA44" s="88"/>
    </row>
    <row r="45" ht="15.75" customHeight="1">
      <c r="A45" s="86">
        <v>35.0</v>
      </c>
      <c r="B45" s="87"/>
      <c r="C45" s="53"/>
      <c r="D45" s="53" t="str">
        <f>IFERROR(VLOOKUP($B45,'発話マスタ'!$A:$K,D$8,0),"")</f>
        <v/>
      </c>
      <c r="E45" s="53" t="str">
        <f>IFERROR(VLOOKUP($B45,'発話マスタ'!$A:$K,E$8,0),"")</f>
        <v/>
      </c>
      <c r="F45" s="53" t="str">
        <f>IFERROR(VLOOKUP($B45,'発話マスタ'!$A:$K,F$8,0),"")</f>
        <v/>
      </c>
      <c r="G45" s="53" t="str">
        <f>IFERROR(VLOOKUP($B45,'発話マスタ'!$A:$K,G$8,0),"")</f>
        <v/>
      </c>
      <c r="H45" s="53" t="str">
        <f>IFERROR(VLOOKUP($B45,'発話マスタ'!$A:$K,H$8,0),"")</f>
        <v/>
      </c>
      <c r="I45" s="53" t="str">
        <f>IFERROR(VLOOKUP($B45,'発話マスタ'!$A:$K,I$8,0),"")</f>
        <v/>
      </c>
      <c r="J45" s="53" t="str">
        <f>IFERROR(VLOOKUP($B45,'発話マスタ'!$A:$K,J$8,0),"")</f>
        <v/>
      </c>
      <c r="K45" s="53" t="str">
        <f>IFERROR(VLOOKUP($B45,'発話マスタ'!$A:$K,K$8,0),"")</f>
        <v/>
      </c>
      <c r="L45" s="53" t="str">
        <f>IFERROR(VLOOKUP($B45,'発話マスタ'!$A:$K,L$8,0),"")</f>
        <v/>
      </c>
      <c r="M45" s="53" t="str">
        <f>IFERROR(VLOOKUP($B45,'発話マスタ'!$A:$K,M$8,0),"")</f>
        <v/>
      </c>
      <c r="N45" s="53"/>
      <c r="O45" s="53"/>
      <c r="P45" s="53"/>
      <c r="Q45" s="53"/>
      <c r="R45" s="53"/>
      <c r="S45" s="53"/>
      <c r="T45" s="53"/>
      <c r="U45" s="53"/>
      <c r="V45" s="53"/>
      <c r="W45" s="53"/>
      <c r="X45" s="53"/>
      <c r="Y45" s="53"/>
      <c r="Z45" s="53"/>
      <c r="AA45" s="88"/>
    </row>
    <row r="46" ht="15.75" customHeight="1">
      <c r="A46" s="86">
        <v>36.0</v>
      </c>
      <c r="B46" s="87"/>
      <c r="C46" s="53"/>
      <c r="D46" s="53" t="str">
        <f>IFERROR(VLOOKUP($B46,'発話マスタ'!$A:$K,D$8,0),"")</f>
        <v/>
      </c>
      <c r="E46" s="53" t="str">
        <f>IFERROR(VLOOKUP($B46,'発話マスタ'!$A:$K,E$8,0),"")</f>
        <v/>
      </c>
      <c r="F46" s="53" t="str">
        <f>IFERROR(VLOOKUP($B46,'発話マスタ'!$A:$K,F$8,0),"")</f>
        <v/>
      </c>
      <c r="G46" s="53" t="str">
        <f>IFERROR(VLOOKUP($B46,'発話マスタ'!$A:$K,G$8,0),"")</f>
        <v/>
      </c>
      <c r="H46" s="53" t="str">
        <f>IFERROR(VLOOKUP($B46,'発話マスタ'!$A:$K,H$8,0),"")</f>
        <v/>
      </c>
      <c r="I46" s="53" t="str">
        <f>IFERROR(VLOOKUP($B46,'発話マスタ'!$A:$K,I$8,0),"")</f>
        <v/>
      </c>
      <c r="J46" s="53" t="str">
        <f>IFERROR(VLOOKUP($B46,'発話マスタ'!$A:$K,J$8,0),"")</f>
        <v/>
      </c>
      <c r="K46" s="53" t="str">
        <f>IFERROR(VLOOKUP($B46,'発話マスタ'!$A:$K,K$8,0),"")</f>
        <v/>
      </c>
      <c r="L46" s="53" t="str">
        <f>IFERROR(VLOOKUP($B46,'発話マスタ'!$A:$K,L$8,0),"")</f>
        <v/>
      </c>
      <c r="M46" s="53" t="str">
        <f>IFERROR(VLOOKUP($B46,'発話マスタ'!$A:$K,M$8,0),"")</f>
        <v/>
      </c>
      <c r="N46" s="53"/>
      <c r="O46" s="53"/>
      <c r="P46" s="53"/>
      <c r="Q46" s="53"/>
      <c r="R46" s="53"/>
      <c r="S46" s="53"/>
      <c r="T46" s="53"/>
      <c r="U46" s="53"/>
      <c r="V46" s="53"/>
      <c r="W46" s="53"/>
      <c r="X46" s="53"/>
      <c r="Y46" s="53"/>
      <c r="Z46" s="53"/>
      <c r="AA46" s="88"/>
    </row>
    <row r="47" ht="15.75" customHeight="1">
      <c r="A47" s="86">
        <v>37.0</v>
      </c>
      <c r="B47" s="87"/>
      <c r="C47" s="53"/>
      <c r="D47" s="53" t="str">
        <f>IFERROR(VLOOKUP($B47,'発話マスタ'!$A:$K,D$8,0),"")</f>
        <v/>
      </c>
      <c r="E47" s="53" t="str">
        <f>IFERROR(VLOOKUP($B47,'発話マスタ'!$A:$K,E$8,0),"")</f>
        <v/>
      </c>
      <c r="F47" s="53" t="str">
        <f>IFERROR(VLOOKUP($B47,'発話マスタ'!$A:$K,F$8,0),"")</f>
        <v/>
      </c>
      <c r="G47" s="53" t="str">
        <f>IFERROR(VLOOKUP($B47,'発話マスタ'!$A:$K,G$8,0),"")</f>
        <v/>
      </c>
      <c r="H47" s="53" t="str">
        <f>IFERROR(VLOOKUP($B47,'発話マスタ'!$A:$K,H$8,0),"")</f>
        <v/>
      </c>
      <c r="I47" s="53" t="str">
        <f>IFERROR(VLOOKUP($B47,'発話マスタ'!$A:$K,I$8,0),"")</f>
        <v/>
      </c>
      <c r="J47" s="53" t="str">
        <f>IFERROR(VLOOKUP($B47,'発話マスタ'!$A:$K,J$8,0),"")</f>
        <v/>
      </c>
      <c r="K47" s="53" t="str">
        <f>IFERROR(VLOOKUP($B47,'発話マスタ'!$A:$K,K$8,0),"")</f>
        <v/>
      </c>
      <c r="L47" s="53" t="str">
        <f>IFERROR(VLOOKUP($B47,'発話マスタ'!$A:$K,L$8,0),"")</f>
        <v/>
      </c>
      <c r="M47" s="53" t="str">
        <f>IFERROR(VLOOKUP($B47,'発話マスタ'!$A:$K,M$8,0),"")</f>
        <v/>
      </c>
      <c r="N47" s="53"/>
      <c r="O47" s="53"/>
      <c r="P47" s="53"/>
      <c r="Q47" s="53"/>
      <c r="R47" s="53"/>
      <c r="S47" s="53"/>
      <c r="T47" s="53"/>
      <c r="U47" s="53"/>
      <c r="V47" s="53"/>
      <c r="W47" s="53"/>
      <c r="X47" s="53"/>
      <c r="Y47" s="53"/>
      <c r="Z47" s="53"/>
      <c r="AA47" s="88"/>
    </row>
    <row r="48" ht="15.75" customHeight="1">
      <c r="A48" s="86">
        <v>38.0</v>
      </c>
      <c r="B48" s="87"/>
      <c r="C48" s="53"/>
      <c r="D48" s="53" t="str">
        <f>IFERROR(VLOOKUP($B48,'発話マスタ'!$A:$K,D$8,0),"")</f>
        <v/>
      </c>
      <c r="E48" s="53" t="str">
        <f>IFERROR(VLOOKUP($B48,'発話マスタ'!$A:$K,E$8,0),"")</f>
        <v/>
      </c>
      <c r="F48" s="53" t="str">
        <f>IFERROR(VLOOKUP($B48,'発話マスタ'!$A:$K,F$8,0),"")</f>
        <v/>
      </c>
      <c r="G48" s="53" t="str">
        <f>IFERROR(VLOOKUP($B48,'発話マスタ'!$A:$K,G$8,0),"")</f>
        <v/>
      </c>
      <c r="H48" s="53" t="str">
        <f>IFERROR(VLOOKUP($B48,'発話マスタ'!$A:$K,H$8,0),"")</f>
        <v/>
      </c>
      <c r="I48" s="53" t="str">
        <f>IFERROR(VLOOKUP($B48,'発話マスタ'!$A:$K,I$8,0),"")</f>
        <v/>
      </c>
      <c r="J48" s="53" t="str">
        <f>IFERROR(VLOOKUP($B48,'発話マスタ'!$A:$K,J$8,0),"")</f>
        <v/>
      </c>
      <c r="K48" s="53" t="str">
        <f>IFERROR(VLOOKUP($B48,'発話マスタ'!$A:$K,K$8,0),"")</f>
        <v/>
      </c>
      <c r="L48" s="53" t="str">
        <f>IFERROR(VLOOKUP($B48,'発話マスタ'!$A:$K,L$8,0),"")</f>
        <v/>
      </c>
      <c r="M48" s="53" t="str">
        <f>IFERROR(VLOOKUP($B48,'発話マスタ'!$A:$K,M$8,0),"")</f>
        <v/>
      </c>
      <c r="N48" s="53"/>
      <c r="O48" s="53"/>
      <c r="P48" s="53"/>
      <c r="Q48" s="53"/>
      <c r="R48" s="53"/>
      <c r="S48" s="53"/>
      <c r="T48" s="53"/>
      <c r="U48" s="53"/>
      <c r="V48" s="53"/>
      <c r="W48" s="53"/>
      <c r="X48" s="53"/>
      <c r="Y48" s="53"/>
      <c r="Z48" s="53"/>
      <c r="AA48" s="88"/>
    </row>
    <row r="49" ht="15.75" customHeight="1">
      <c r="A49" s="86">
        <v>39.0</v>
      </c>
      <c r="B49" s="87"/>
      <c r="C49" s="53"/>
      <c r="D49" s="53" t="str">
        <f>IFERROR(VLOOKUP($B49,'発話マスタ'!$A:$K,D$8,0),"")</f>
        <v/>
      </c>
      <c r="E49" s="53" t="str">
        <f>IFERROR(VLOOKUP($B49,'発話マスタ'!$A:$K,E$8,0),"")</f>
        <v/>
      </c>
      <c r="F49" s="53" t="str">
        <f>IFERROR(VLOOKUP($B49,'発話マスタ'!$A:$K,F$8,0),"")</f>
        <v/>
      </c>
      <c r="G49" s="53" t="str">
        <f>IFERROR(VLOOKUP($B49,'発話マスタ'!$A:$K,G$8,0),"")</f>
        <v/>
      </c>
      <c r="H49" s="53" t="str">
        <f>IFERROR(VLOOKUP($B49,'発話マスタ'!$A:$K,H$8,0),"")</f>
        <v/>
      </c>
      <c r="I49" s="53" t="str">
        <f>IFERROR(VLOOKUP($B49,'発話マスタ'!$A:$K,I$8,0),"")</f>
        <v/>
      </c>
      <c r="J49" s="53" t="str">
        <f>IFERROR(VLOOKUP($B49,'発話マスタ'!$A:$K,J$8,0),"")</f>
        <v/>
      </c>
      <c r="K49" s="53" t="str">
        <f>IFERROR(VLOOKUP($B49,'発話マスタ'!$A:$K,K$8,0),"")</f>
        <v/>
      </c>
      <c r="L49" s="53" t="str">
        <f>IFERROR(VLOOKUP($B49,'発話マスタ'!$A:$K,L$8,0),"")</f>
        <v/>
      </c>
      <c r="M49" s="53" t="str">
        <f>IFERROR(VLOOKUP($B49,'発話マスタ'!$A:$K,M$8,0),"")</f>
        <v/>
      </c>
      <c r="N49" s="53"/>
      <c r="O49" s="53"/>
      <c r="P49" s="53"/>
      <c r="Q49" s="53"/>
      <c r="R49" s="53"/>
      <c r="S49" s="53"/>
      <c r="T49" s="53"/>
      <c r="U49" s="53"/>
      <c r="V49" s="53"/>
      <c r="W49" s="53"/>
      <c r="X49" s="53"/>
      <c r="Y49" s="53"/>
      <c r="Z49" s="53"/>
      <c r="AA49" s="88"/>
    </row>
    <row r="50" ht="15.75" customHeight="1">
      <c r="A50" s="86">
        <v>40.0</v>
      </c>
      <c r="B50" s="87"/>
      <c r="C50" s="53"/>
      <c r="D50" s="53" t="str">
        <f>IFERROR(VLOOKUP($B50,'発話マスタ'!$A:$K,D$8,0),"")</f>
        <v/>
      </c>
      <c r="E50" s="53" t="str">
        <f>IFERROR(VLOOKUP($B50,'発話マスタ'!$A:$K,E$8,0),"")</f>
        <v/>
      </c>
      <c r="F50" s="53" t="str">
        <f>IFERROR(VLOOKUP($B50,'発話マスタ'!$A:$K,F$8,0),"")</f>
        <v/>
      </c>
      <c r="G50" s="53" t="str">
        <f>IFERROR(VLOOKUP($B50,'発話マスタ'!$A:$K,G$8,0),"")</f>
        <v/>
      </c>
      <c r="H50" s="53" t="str">
        <f>IFERROR(VLOOKUP($B50,'発話マスタ'!$A:$K,H$8,0),"")</f>
        <v/>
      </c>
      <c r="I50" s="53" t="str">
        <f>IFERROR(VLOOKUP($B50,'発話マスタ'!$A:$K,I$8,0),"")</f>
        <v/>
      </c>
      <c r="J50" s="53" t="str">
        <f>IFERROR(VLOOKUP($B50,'発話マスタ'!$A:$K,J$8,0),"")</f>
        <v/>
      </c>
      <c r="K50" s="53" t="str">
        <f>IFERROR(VLOOKUP($B50,'発話マスタ'!$A:$K,K$8,0),"")</f>
        <v/>
      </c>
      <c r="L50" s="53" t="str">
        <f>IFERROR(VLOOKUP($B50,'発話マスタ'!$A:$K,L$8,0),"")</f>
        <v/>
      </c>
      <c r="M50" s="53" t="str">
        <f>IFERROR(VLOOKUP($B50,'発話マスタ'!$A:$K,M$8,0),"")</f>
        <v/>
      </c>
      <c r="N50" s="53"/>
      <c r="O50" s="53"/>
      <c r="P50" s="53"/>
      <c r="Q50" s="53"/>
      <c r="R50" s="53"/>
      <c r="S50" s="53"/>
      <c r="T50" s="53"/>
      <c r="U50" s="53"/>
      <c r="V50" s="53"/>
      <c r="W50" s="53"/>
      <c r="X50" s="53"/>
      <c r="Y50" s="53"/>
      <c r="Z50" s="53"/>
      <c r="AA50" s="88"/>
    </row>
    <row r="51" ht="15.75" customHeight="1">
      <c r="A51" s="86">
        <v>41.0</v>
      </c>
      <c r="B51" s="87"/>
      <c r="C51" s="53"/>
      <c r="D51" s="53" t="str">
        <f>IFERROR(VLOOKUP($B51,'発話マスタ'!$A:$K,D$8,0),"")</f>
        <v/>
      </c>
      <c r="E51" s="53" t="str">
        <f>IFERROR(VLOOKUP($B51,'発話マスタ'!$A:$K,E$8,0),"")</f>
        <v/>
      </c>
      <c r="F51" s="53" t="str">
        <f>IFERROR(VLOOKUP($B51,'発話マスタ'!$A:$K,F$8,0),"")</f>
        <v/>
      </c>
      <c r="G51" s="53" t="str">
        <f>IFERROR(VLOOKUP($B51,'発話マスタ'!$A:$K,G$8,0),"")</f>
        <v/>
      </c>
      <c r="H51" s="53" t="str">
        <f>IFERROR(VLOOKUP($B51,'発話マスタ'!$A:$K,H$8,0),"")</f>
        <v/>
      </c>
      <c r="I51" s="53" t="str">
        <f>IFERROR(VLOOKUP($B51,'発話マスタ'!$A:$K,I$8,0),"")</f>
        <v/>
      </c>
      <c r="J51" s="53" t="str">
        <f>IFERROR(VLOOKUP($B51,'発話マスタ'!$A:$K,J$8,0),"")</f>
        <v/>
      </c>
      <c r="K51" s="53" t="str">
        <f>IFERROR(VLOOKUP($B51,'発話マスタ'!$A:$K,K$8,0),"")</f>
        <v/>
      </c>
      <c r="L51" s="53" t="str">
        <f>IFERROR(VLOOKUP($B51,'発話マスタ'!$A:$K,L$8,0),"")</f>
        <v/>
      </c>
      <c r="M51" s="53" t="str">
        <f>IFERROR(VLOOKUP($B51,'発話マスタ'!$A:$K,M$8,0),"")</f>
        <v/>
      </c>
      <c r="N51" s="53"/>
      <c r="O51" s="53"/>
      <c r="P51" s="53"/>
      <c r="Q51" s="53"/>
      <c r="R51" s="53"/>
      <c r="S51" s="53"/>
      <c r="T51" s="53"/>
      <c r="U51" s="53"/>
      <c r="V51" s="53"/>
      <c r="W51" s="53"/>
      <c r="X51" s="53"/>
      <c r="Y51" s="53"/>
      <c r="Z51" s="53"/>
      <c r="AA51" s="88"/>
    </row>
    <row r="52" ht="15.75" customHeight="1">
      <c r="A52" s="86">
        <v>42.0</v>
      </c>
      <c r="B52" s="87"/>
      <c r="C52" s="53"/>
      <c r="D52" s="53" t="str">
        <f>IFERROR(VLOOKUP($B52,'発話マスタ'!$A:$K,D$8,0),"")</f>
        <v/>
      </c>
      <c r="E52" s="53" t="str">
        <f>IFERROR(VLOOKUP($B52,'発話マスタ'!$A:$K,E$8,0),"")</f>
        <v/>
      </c>
      <c r="F52" s="53" t="str">
        <f>IFERROR(VLOOKUP($B52,'発話マスタ'!$A:$K,F$8,0),"")</f>
        <v/>
      </c>
      <c r="G52" s="53" t="str">
        <f>IFERROR(VLOOKUP($B52,'発話マスタ'!$A:$K,G$8,0),"")</f>
        <v/>
      </c>
      <c r="H52" s="53" t="str">
        <f>IFERROR(VLOOKUP($B52,'発話マスタ'!$A:$K,H$8,0),"")</f>
        <v/>
      </c>
      <c r="I52" s="53" t="str">
        <f>IFERROR(VLOOKUP($B52,'発話マスタ'!$A:$K,I$8,0),"")</f>
        <v/>
      </c>
      <c r="J52" s="53" t="str">
        <f>IFERROR(VLOOKUP($B52,'発話マスタ'!$A:$K,J$8,0),"")</f>
        <v/>
      </c>
      <c r="K52" s="53" t="str">
        <f>IFERROR(VLOOKUP($B52,'発話マスタ'!$A:$K,K$8,0),"")</f>
        <v/>
      </c>
      <c r="L52" s="53" t="str">
        <f>IFERROR(VLOOKUP($B52,'発話マスタ'!$A:$K,L$8,0),"")</f>
        <v/>
      </c>
      <c r="M52" s="53" t="str">
        <f>IFERROR(VLOOKUP($B52,'発話マスタ'!$A:$K,M$8,0),"")</f>
        <v/>
      </c>
      <c r="N52" s="53"/>
      <c r="O52" s="53"/>
      <c r="P52" s="53"/>
      <c r="Q52" s="53"/>
      <c r="R52" s="53"/>
      <c r="S52" s="53"/>
      <c r="T52" s="53"/>
      <c r="U52" s="53"/>
      <c r="V52" s="53"/>
      <c r="W52" s="53"/>
      <c r="X52" s="53"/>
      <c r="Y52" s="53"/>
      <c r="Z52" s="53"/>
      <c r="AA52" s="88"/>
    </row>
    <row r="53" ht="15.75" customHeight="1">
      <c r="A53" s="86">
        <v>43.0</v>
      </c>
      <c r="B53" s="87"/>
      <c r="C53" s="53"/>
      <c r="D53" s="53" t="str">
        <f>IFERROR(VLOOKUP($B53,'発話マスタ'!$A:$K,D$8,0),"")</f>
        <v/>
      </c>
      <c r="E53" s="53" t="str">
        <f>IFERROR(VLOOKUP($B53,'発話マスタ'!$A:$K,E$8,0),"")</f>
        <v/>
      </c>
      <c r="F53" s="53" t="str">
        <f>IFERROR(VLOOKUP($B53,'発話マスタ'!$A:$K,F$8,0),"")</f>
        <v/>
      </c>
      <c r="G53" s="53" t="str">
        <f>IFERROR(VLOOKUP($B53,'発話マスタ'!$A:$K,G$8,0),"")</f>
        <v/>
      </c>
      <c r="H53" s="53" t="str">
        <f>IFERROR(VLOOKUP($B53,'発話マスタ'!$A:$K,H$8,0),"")</f>
        <v/>
      </c>
      <c r="I53" s="53" t="str">
        <f>IFERROR(VLOOKUP($B53,'発話マスタ'!$A:$K,I$8,0),"")</f>
        <v/>
      </c>
      <c r="J53" s="53" t="str">
        <f>IFERROR(VLOOKUP($B53,'発話マスタ'!$A:$K,J$8,0),"")</f>
        <v/>
      </c>
      <c r="K53" s="53" t="str">
        <f>IFERROR(VLOOKUP($B53,'発話マスタ'!$A:$K,K$8,0),"")</f>
        <v/>
      </c>
      <c r="L53" s="53" t="str">
        <f>IFERROR(VLOOKUP($B53,'発話マスタ'!$A:$K,L$8,0),"")</f>
        <v/>
      </c>
      <c r="M53" s="53" t="str">
        <f>IFERROR(VLOOKUP($B53,'発話マスタ'!$A:$K,M$8,0),"")</f>
        <v/>
      </c>
      <c r="N53" s="53"/>
      <c r="O53" s="53"/>
      <c r="P53" s="53"/>
      <c r="Q53" s="53"/>
      <c r="R53" s="53"/>
      <c r="S53" s="53"/>
      <c r="T53" s="53"/>
      <c r="U53" s="53"/>
      <c r="V53" s="53"/>
      <c r="W53" s="53"/>
      <c r="X53" s="53"/>
      <c r="Y53" s="53"/>
      <c r="Z53" s="53"/>
      <c r="AA53" s="88"/>
    </row>
    <row r="54" ht="15.75" customHeight="1">
      <c r="A54" s="86">
        <v>44.0</v>
      </c>
      <c r="B54" s="87"/>
      <c r="C54" s="53"/>
      <c r="D54" s="53" t="str">
        <f>IFERROR(VLOOKUP($B54,'発話マスタ'!$A:$K,D$8,0),"")</f>
        <v/>
      </c>
      <c r="E54" s="53" t="str">
        <f>IFERROR(VLOOKUP($B54,'発話マスタ'!$A:$K,E$8,0),"")</f>
        <v/>
      </c>
      <c r="F54" s="53" t="str">
        <f>IFERROR(VLOOKUP($B54,'発話マスタ'!$A:$K,F$8,0),"")</f>
        <v/>
      </c>
      <c r="G54" s="53" t="str">
        <f>IFERROR(VLOOKUP($B54,'発話マスタ'!$A:$K,G$8,0),"")</f>
        <v/>
      </c>
      <c r="H54" s="53" t="str">
        <f>IFERROR(VLOOKUP($B54,'発話マスタ'!$A:$K,H$8,0),"")</f>
        <v/>
      </c>
      <c r="I54" s="53" t="str">
        <f>IFERROR(VLOOKUP($B54,'発話マスタ'!$A:$K,I$8,0),"")</f>
        <v/>
      </c>
      <c r="J54" s="53" t="str">
        <f>IFERROR(VLOOKUP($B54,'発話マスタ'!$A:$K,J$8,0),"")</f>
        <v/>
      </c>
      <c r="K54" s="53" t="str">
        <f>IFERROR(VLOOKUP($B54,'発話マスタ'!$A:$K,K$8,0),"")</f>
        <v/>
      </c>
      <c r="L54" s="53" t="str">
        <f>IFERROR(VLOOKUP($B54,'発話マスタ'!$A:$K,L$8,0),"")</f>
        <v/>
      </c>
      <c r="M54" s="53" t="str">
        <f>IFERROR(VLOOKUP($B54,'発話マスタ'!$A:$K,M$8,0),"")</f>
        <v/>
      </c>
      <c r="N54" s="53"/>
      <c r="O54" s="53"/>
      <c r="P54" s="53"/>
      <c r="Q54" s="53"/>
      <c r="R54" s="53"/>
      <c r="S54" s="53"/>
      <c r="T54" s="53"/>
      <c r="U54" s="53"/>
      <c r="V54" s="53"/>
      <c r="W54" s="53"/>
      <c r="X54" s="53"/>
      <c r="Y54" s="53"/>
      <c r="Z54" s="53"/>
      <c r="AA54" s="88"/>
    </row>
    <row r="55" ht="15.75" customHeight="1">
      <c r="A55" s="86">
        <v>45.0</v>
      </c>
      <c r="B55" s="87"/>
      <c r="C55" s="53"/>
      <c r="D55" s="53" t="str">
        <f>IFERROR(VLOOKUP($B55,'発話マスタ'!$A:$K,D$8,0),"")</f>
        <v/>
      </c>
      <c r="E55" s="53" t="str">
        <f>IFERROR(VLOOKUP($B55,'発話マスタ'!$A:$K,E$8,0),"")</f>
        <v/>
      </c>
      <c r="F55" s="53" t="str">
        <f>IFERROR(VLOOKUP($B55,'発話マスタ'!$A:$K,F$8,0),"")</f>
        <v/>
      </c>
      <c r="G55" s="53" t="str">
        <f>IFERROR(VLOOKUP($B55,'発話マスタ'!$A:$K,G$8,0),"")</f>
        <v/>
      </c>
      <c r="H55" s="53" t="str">
        <f>IFERROR(VLOOKUP($B55,'発話マスタ'!$A:$K,H$8,0),"")</f>
        <v/>
      </c>
      <c r="I55" s="53" t="str">
        <f>IFERROR(VLOOKUP($B55,'発話マスタ'!$A:$K,I$8,0),"")</f>
        <v/>
      </c>
      <c r="J55" s="53" t="str">
        <f>IFERROR(VLOOKUP($B55,'発話マスタ'!$A:$K,J$8,0),"")</f>
        <v/>
      </c>
      <c r="K55" s="53" t="str">
        <f>IFERROR(VLOOKUP($B55,'発話マスタ'!$A:$K,K$8,0),"")</f>
        <v/>
      </c>
      <c r="L55" s="53" t="str">
        <f>IFERROR(VLOOKUP($B55,'発話マスタ'!$A:$K,L$8,0),"")</f>
        <v/>
      </c>
      <c r="M55" s="53" t="str">
        <f>IFERROR(VLOOKUP($B55,'発話マスタ'!$A:$K,M$8,0),"")</f>
        <v/>
      </c>
      <c r="N55" s="53"/>
      <c r="O55" s="53"/>
      <c r="P55" s="53"/>
      <c r="Q55" s="53"/>
      <c r="R55" s="53"/>
      <c r="S55" s="53"/>
      <c r="T55" s="53"/>
      <c r="U55" s="53"/>
      <c r="V55" s="53"/>
      <c r="W55" s="53"/>
      <c r="X55" s="53"/>
      <c r="Y55" s="53"/>
      <c r="Z55" s="53"/>
      <c r="AA55" s="88"/>
    </row>
    <row r="56" ht="15.75" customHeight="1">
      <c r="A56" s="86">
        <v>46.0</v>
      </c>
      <c r="B56" s="87"/>
      <c r="C56" s="53"/>
      <c r="D56" s="53" t="str">
        <f>IFERROR(VLOOKUP($B56,'発話マスタ'!$A:$K,D$8,0),"")</f>
        <v/>
      </c>
      <c r="E56" s="53" t="str">
        <f>IFERROR(VLOOKUP($B56,'発話マスタ'!$A:$K,E$8,0),"")</f>
        <v/>
      </c>
      <c r="F56" s="53" t="str">
        <f>IFERROR(VLOOKUP($B56,'発話マスタ'!$A:$K,F$8,0),"")</f>
        <v/>
      </c>
      <c r="G56" s="53" t="str">
        <f>IFERROR(VLOOKUP($B56,'発話マスタ'!$A:$K,G$8,0),"")</f>
        <v/>
      </c>
      <c r="H56" s="53" t="str">
        <f>IFERROR(VLOOKUP($B56,'発話マスタ'!$A:$K,H$8,0),"")</f>
        <v/>
      </c>
      <c r="I56" s="53" t="str">
        <f>IFERROR(VLOOKUP($B56,'発話マスタ'!$A:$K,I$8,0),"")</f>
        <v/>
      </c>
      <c r="J56" s="53" t="str">
        <f>IFERROR(VLOOKUP($B56,'発話マスタ'!$A:$K,J$8,0),"")</f>
        <v/>
      </c>
      <c r="K56" s="53" t="str">
        <f>IFERROR(VLOOKUP($B56,'発話マスタ'!$A:$K,K$8,0),"")</f>
        <v/>
      </c>
      <c r="L56" s="53" t="str">
        <f>IFERROR(VLOOKUP($B56,'発話マスタ'!$A:$K,L$8,0),"")</f>
        <v/>
      </c>
      <c r="M56" s="53" t="str">
        <f>IFERROR(VLOOKUP($B56,'発話マスタ'!$A:$K,M$8,0),"")</f>
        <v/>
      </c>
      <c r="N56" s="53"/>
      <c r="O56" s="53"/>
      <c r="P56" s="53"/>
      <c r="Q56" s="53"/>
      <c r="R56" s="53"/>
      <c r="S56" s="53"/>
      <c r="T56" s="53"/>
      <c r="U56" s="53"/>
      <c r="V56" s="53"/>
      <c r="W56" s="53"/>
      <c r="X56" s="53"/>
      <c r="Y56" s="53"/>
      <c r="Z56" s="53"/>
      <c r="AA56" s="88"/>
    </row>
    <row r="57" ht="15.75" customHeight="1">
      <c r="A57" s="86">
        <v>47.0</v>
      </c>
      <c r="B57" s="87"/>
      <c r="C57" s="53"/>
      <c r="D57" s="53" t="str">
        <f>IFERROR(VLOOKUP($B57,'発話マスタ'!$A:$K,D$8,0),"")</f>
        <v/>
      </c>
      <c r="E57" s="53" t="str">
        <f>IFERROR(VLOOKUP($B57,'発話マスタ'!$A:$K,E$8,0),"")</f>
        <v/>
      </c>
      <c r="F57" s="53" t="str">
        <f>IFERROR(VLOOKUP($B57,'発話マスタ'!$A:$K,F$8,0),"")</f>
        <v/>
      </c>
      <c r="G57" s="53" t="str">
        <f>IFERROR(VLOOKUP($B57,'発話マスタ'!$A:$K,G$8,0),"")</f>
        <v/>
      </c>
      <c r="H57" s="53" t="str">
        <f>IFERROR(VLOOKUP($B57,'発話マスタ'!$A:$K,H$8,0),"")</f>
        <v/>
      </c>
      <c r="I57" s="53" t="str">
        <f>IFERROR(VLOOKUP($B57,'発話マスタ'!$A:$K,I$8,0),"")</f>
        <v/>
      </c>
      <c r="J57" s="53" t="str">
        <f>IFERROR(VLOOKUP($B57,'発話マスタ'!$A:$K,J$8,0),"")</f>
        <v/>
      </c>
      <c r="K57" s="53" t="str">
        <f>IFERROR(VLOOKUP($B57,'発話マスタ'!$A:$K,K$8,0),"")</f>
        <v/>
      </c>
      <c r="L57" s="53" t="str">
        <f>IFERROR(VLOOKUP($B57,'発話マスタ'!$A:$K,L$8,0),"")</f>
        <v/>
      </c>
      <c r="M57" s="53" t="str">
        <f>IFERROR(VLOOKUP($B57,'発話マスタ'!$A:$K,M$8,0),"")</f>
        <v/>
      </c>
      <c r="N57" s="53"/>
      <c r="O57" s="53"/>
      <c r="P57" s="53"/>
      <c r="Q57" s="53"/>
      <c r="R57" s="53"/>
      <c r="S57" s="53"/>
      <c r="T57" s="53"/>
      <c r="U57" s="53"/>
      <c r="V57" s="53"/>
      <c r="W57" s="53"/>
      <c r="X57" s="53"/>
      <c r="Y57" s="53"/>
      <c r="Z57" s="53"/>
      <c r="AA57" s="88"/>
    </row>
    <row r="58" ht="15.75" customHeight="1">
      <c r="A58" s="86">
        <v>48.0</v>
      </c>
      <c r="B58" s="87"/>
      <c r="C58" s="53"/>
      <c r="D58" s="53" t="str">
        <f>IFERROR(VLOOKUP($B58,'発話マスタ'!$A:$K,D$8,0),"")</f>
        <v/>
      </c>
      <c r="E58" s="53" t="str">
        <f>IFERROR(VLOOKUP($B58,'発話マスタ'!$A:$K,E$8,0),"")</f>
        <v/>
      </c>
      <c r="F58" s="53" t="str">
        <f>IFERROR(VLOOKUP($B58,'発話マスタ'!$A:$K,F$8,0),"")</f>
        <v/>
      </c>
      <c r="G58" s="53" t="str">
        <f>IFERROR(VLOOKUP($B58,'発話マスタ'!$A:$K,G$8,0),"")</f>
        <v/>
      </c>
      <c r="H58" s="53" t="str">
        <f>IFERROR(VLOOKUP($B58,'発話マスタ'!$A:$K,H$8,0),"")</f>
        <v/>
      </c>
      <c r="I58" s="53" t="str">
        <f>IFERROR(VLOOKUP($B58,'発話マスタ'!$A:$K,I$8,0),"")</f>
        <v/>
      </c>
      <c r="J58" s="53" t="str">
        <f>IFERROR(VLOOKUP($B58,'発話マスタ'!$A:$K,J$8,0),"")</f>
        <v/>
      </c>
      <c r="K58" s="53" t="str">
        <f>IFERROR(VLOOKUP($B58,'発話マスタ'!$A:$K,K$8,0),"")</f>
        <v/>
      </c>
      <c r="L58" s="53" t="str">
        <f>IFERROR(VLOOKUP($B58,'発話マスタ'!$A:$K,L$8,0),"")</f>
        <v/>
      </c>
      <c r="M58" s="53" t="str">
        <f>IFERROR(VLOOKUP($B58,'発話マスタ'!$A:$K,M$8,0),"")</f>
        <v/>
      </c>
      <c r="N58" s="53"/>
      <c r="O58" s="53"/>
      <c r="P58" s="53"/>
      <c r="Q58" s="53"/>
      <c r="R58" s="53"/>
      <c r="S58" s="53"/>
      <c r="T58" s="53"/>
      <c r="U58" s="53"/>
      <c r="V58" s="53"/>
      <c r="W58" s="53"/>
      <c r="X58" s="53"/>
      <c r="Y58" s="53"/>
      <c r="Z58" s="53"/>
      <c r="AA58" s="88"/>
    </row>
    <row r="59" ht="15.75" customHeight="1">
      <c r="A59" s="86">
        <v>49.0</v>
      </c>
      <c r="B59" s="87"/>
      <c r="C59" s="53"/>
      <c r="D59" s="53" t="str">
        <f>IFERROR(VLOOKUP($B59,'発話マスタ'!$A:$K,D$8,0),"")</f>
        <v/>
      </c>
      <c r="E59" s="53" t="str">
        <f>IFERROR(VLOOKUP($B59,'発話マスタ'!$A:$K,E$8,0),"")</f>
        <v/>
      </c>
      <c r="F59" s="53" t="str">
        <f>IFERROR(VLOOKUP($B59,'発話マスタ'!$A:$K,F$8,0),"")</f>
        <v/>
      </c>
      <c r="G59" s="53" t="str">
        <f>IFERROR(VLOOKUP($B59,'発話マスタ'!$A:$K,G$8,0),"")</f>
        <v/>
      </c>
      <c r="H59" s="53" t="str">
        <f>IFERROR(VLOOKUP($B59,'発話マスタ'!$A:$K,H$8,0),"")</f>
        <v/>
      </c>
      <c r="I59" s="53" t="str">
        <f>IFERROR(VLOOKUP($B59,'発話マスタ'!$A:$K,I$8,0),"")</f>
        <v/>
      </c>
      <c r="J59" s="53" t="str">
        <f>IFERROR(VLOOKUP($B59,'発話マスタ'!$A:$K,J$8,0),"")</f>
        <v/>
      </c>
      <c r="K59" s="53" t="str">
        <f>IFERROR(VLOOKUP($B59,'発話マスタ'!$A:$K,K$8,0),"")</f>
        <v/>
      </c>
      <c r="L59" s="53" t="str">
        <f>IFERROR(VLOOKUP($B59,'発話マスタ'!$A:$K,L$8,0),"")</f>
        <v/>
      </c>
      <c r="M59" s="53" t="str">
        <f>IFERROR(VLOOKUP($B59,'発話マスタ'!$A:$K,M$8,0),"")</f>
        <v/>
      </c>
      <c r="N59" s="53"/>
      <c r="O59" s="53"/>
      <c r="P59" s="53"/>
      <c r="Q59" s="53"/>
      <c r="R59" s="53"/>
      <c r="S59" s="53"/>
      <c r="T59" s="53"/>
      <c r="U59" s="53"/>
      <c r="V59" s="53"/>
      <c r="W59" s="53"/>
      <c r="X59" s="53"/>
      <c r="Y59" s="53"/>
      <c r="Z59" s="53"/>
      <c r="AA59" s="88"/>
    </row>
    <row r="60" ht="15.75" customHeight="1">
      <c r="A60" s="86">
        <v>50.0</v>
      </c>
      <c r="B60" s="87"/>
      <c r="C60" s="53"/>
      <c r="D60" s="53" t="str">
        <f>IFERROR(VLOOKUP($B60,'発話マスタ'!$A:$K,D$8,0),"")</f>
        <v/>
      </c>
      <c r="E60" s="53" t="str">
        <f>IFERROR(VLOOKUP($B60,'発話マスタ'!$A:$K,E$8,0),"")</f>
        <v/>
      </c>
      <c r="F60" s="53" t="str">
        <f>IFERROR(VLOOKUP($B60,'発話マスタ'!$A:$K,F$8,0),"")</f>
        <v/>
      </c>
      <c r="G60" s="53" t="str">
        <f>IFERROR(VLOOKUP($B60,'発話マスタ'!$A:$K,G$8,0),"")</f>
        <v/>
      </c>
      <c r="H60" s="53" t="str">
        <f>IFERROR(VLOOKUP($B60,'発話マスタ'!$A:$K,H$8,0),"")</f>
        <v/>
      </c>
      <c r="I60" s="53" t="str">
        <f>IFERROR(VLOOKUP($B60,'発話マスタ'!$A:$K,I$8,0),"")</f>
        <v/>
      </c>
      <c r="J60" s="53" t="str">
        <f>IFERROR(VLOOKUP($B60,'発話マスタ'!$A:$K,J$8,0),"")</f>
        <v/>
      </c>
      <c r="K60" s="53" t="str">
        <f>IFERROR(VLOOKUP($B60,'発話マスタ'!$A:$K,K$8,0),"")</f>
        <v/>
      </c>
      <c r="L60" s="53" t="str">
        <f>IFERROR(VLOOKUP($B60,'発話マスタ'!$A:$K,L$8,0),"")</f>
        <v/>
      </c>
      <c r="M60" s="53" t="str">
        <f>IFERROR(VLOOKUP($B60,'発話マスタ'!$A:$K,M$8,0),"")</f>
        <v/>
      </c>
      <c r="N60" s="53"/>
      <c r="O60" s="53"/>
      <c r="P60" s="53"/>
      <c r="Q60" s="53"/>
      <c r="R60" s="53"/>
      <c r="S60" s="53"/>
      <c r="T60" s="53"/>
      <c r="U60" s="53"/>
      <c r="V60" s="53"/>
      <c r="W60" s="53"/>
      <c r="X60" s="53"/>
      <c r="Y60" s="53"/>
      <c r="Z60" s="53"/>
      <c r="AA60" s="88"/>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L2"/>
    <mergeCell ref="A3:AA3"/>
    <mergeCell ref="A4:AA4"/>
    <mergeCell ref="A5:AA5"/>
    <mergeCell ref="A6:AA6"/>
  </mergeCells>
  <dataValidations>
    <dataValidation type="list" allowBlank="1" showErrorMessage="1" sqref="C10:C60">
      <formula1>"〇,×"</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showGridLines="0" workbookViewId="0"/>
  </sheetViews>
  <sheetFormatPr customHeight="1" defaultColWidth="12.63" defaultRowHeight="15.0"/>
  <cols>
    <col customWidth="1" min="1" max="1" width="11.0"/>
    <col customWidth="1" min="2" max="2" width="37.88"/>
    <col customWidth="1" min="3" max="3" width="38.38"/>
    <col customWidth="1" min="4" max="4" width="39.63"/>
    <col customWidth="1" min="5" max="26" width="11.0"/>
  </cols>
  <sheetData>
    <row r="1" ht="15.75" customHeight="1">
      <c r="A1" s="90" t="s">
        <v>227</v>
      </c>
      <c r="E1" s="1"/>
      <c r="F1" s="1"/>
      <c r="G1" s="1"/>
      <c r="H1" s="1"/>
      <c r="I1" s="1"/>
      <c r="J1" s="1"/>
      <c r="K1" s="1"/>
      <c r="L1" s="1"/>
      <c r="M1" s="1"/>
      <c r="N1" s="1"/>
      <c r="O1" s="1"/>
      <c r="P1" s="1"/>
      <c r="Q1" s="1"/>
      <c r="R1" s="1"/>
      <c r="S1" s="1"/>
      <c r="T1" s="1"/>
      <c r="U1" s="1"/>
      <c r="V1" s="1"/>
      <c r="W1" s="1"/>
      <c r="X1" s="1"/>
      <c r="Y1" s="1"/>
      <c r="Z1" s="1"/>
    </row>
    <row r="2" ht="15.75" customHeight="1">
      <c r="A2" s="91" t="s">
        <v>228</v>
      </c>
      <c r="B2" s="69"/>
      <c r="C2" s="69"/>
      <c r="D2" s="24"/>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92" t="s">
        <v>229</v>
      </c>
      <c r="B4" s="93" t="s">
        <v>230</v>
      </c>
      <c r="C4" s="94" t="s">
        <v>231</v>
      </c>
      <c r="D4" s="95" t="s">
        <v>232</v>
      </c>
      <c r="E4" s="1"/>
      <c r="F4" s="1"/>
      <c r="G4" s="1"/>
      <c r="H4" s="1"/>
      <c r="I4" s="1"/>
      <c r="J4" s="1"/>
      <c r="K4" s="1"/>
      <c r="L4" s="1"/>
      <c r="M4" s="1"/>
      <c r="N4" s="1"/>
      <c r="O4" s="1"/>
      <c r="P4" s="1"/>
      <c r="Q4" s="1"/>
      <c r="R4" s="1"/>
      <c r="S4" s="1"/>
      <c r="T4" s="1"/>
      <c r="U4" s="1"/>
      <c r="V4" s="1"/>
      <c r="W4" s="1"/>
      <c r="X4" s="1"/>
      <c r="Y4" s="1"/>
      <c r="Z4" s="1"/>
    </row>
    <row r="5" ht="15.75" customHeight="1">
      <c r="A5" s="96" t="s">
        <v>233</v>
      </c>
      <c r="B5" s="97" t="s">
        <v>234</v>
      </c>
      <c r="C5" s="98" t="s">
        <v>235</v>
      </c>
      <c r="D5" s="99" t="s">
        <v>236</v>
      </c>
      <c r="E5" s="1"/>
      <c r="F5" s="1"/>
      <c r="G5" s="1"/>
      <c r="H5" s="1"/>
      <c r="I5" s="1"/>
      <c r="J5" s="1"/>
      <c r="K5" s="1"/>
      <c r="L5" s="1"/>
      <c r="M5" s="1"/>
      <c r="N5" s="1"/>
      <c r="O5" s="1"/>
      <c r="P5" s="1"/>
      <c r="Q5" s="1"/>
      <c r="R5" s="1"/>
      <c r="S5" s="1"/>
      <c r="T5" s="1"/>
      <c r="U5" s="1"/>
      <c r="V5" s="1"/>
      <c r="W5" s="1"/>
      <c r="X5" s="1"/>
      <c r="Y5" s="1"/>
      <c r="Z5" s="1"/>
    </row>
    <row r="6" ht="15.75" customHeight="1">
      <c r="A6" s="100"/>
      <c r="B6" s="97" t="s">
        <v>237</v>
      </c>
      <c r="C6" s="98" t="s">
        <v>238</v>
      </c>
      <c r="D6" s="101" t="s">
        <v>236</v>
      </c>
      <c r="E6" s="1"/>
      <c r="F6" s="1"/>
      <c r="G6" s="1"/>
      <c r="H6" s="1"/>
      <c r="I6" s="1"/>
      <c r="J6" s="1"/>
      <c r="K6" s="1"/>
      <c r="L6" s="1"/>
      <c r="M6" s="1"/>
      <c r="N6" s="1"/>
      <c r="O6" s="1"/>
      <c r="P6" s="1"/>
      <c r="Q6" s="1"/>
      <c r="R6" s="1"/>
      <c r="S6" s="1"/>
      <c r="T6" s="1"/>
      <c r="U6" s="1"/>
      <c r="V6" s="1"/>
      <c r="W6" s="1"/>
      <c r="X6" s="1"/>
      <c r="Y6" s="1"/>
      <c r="Z6" s="1"/>
    </row>
    <row r="7" ht="15.75" customHeight="1">
      <c r="A7" s="102"/>
      <c r="B7" s="103" t="s">
        <v>239</v>
      </c>
      <c r="C7" s="104" t="s">
        <v>240</v>
      </c>
      <c r="D7" s="105" t="s">
        <v>236</v>
      </c>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06" t="s">
        <v>241</v>
      </c>
      <c r="B9" s="107" t="s">
        <v>242</v>
      </c>
      <c r="C9" s="108" t="s">
        <v>243</v>
      </c>
      <c r="D9" s="109" t="s">
        <v>236</v>
      </c>
      <c r="E9" s="1"/>
      <c r="F9" s="1"/>
      <c r="G9" s="1"/>
      <c r="H9" s="1"/>
      <c r="I9" s="1"/>
      <c r="J9" s="1"/>
      <c r="K9" s="1"/>
      <c r="L9" s="1"/>
      <c r="M9" s="1"/>
      <c r="N9" s="1"/>
      <c r="O9" s="1"/>
      <c r="P9" s="1"/>
      <c r="Q9" s="1"/>
      <c r="R9" s="1"/>
      <c r="S9" s="1"/>
      <c r="T9" s="1"/>
      <c r="U9" s="1"/>
      <c r="V9" s="1"/>
      <c r="W9" s="1"/>
      <c r="X9" s="1"/>
      <c r="Y9" s="1"/>
      <c r="Z9" s="1"/>
    </row>
    <row r="10" ht="15.75" customHeight="1">
      <c r="A10" s="100"/>
      <c r="B10" s="97" t="s">
        <v>244</v>
      </c>
      <c r="C10" s="98" t="s">
        <v>245</v>
      </c>
      <c r="D10" s="101" t="s">
        <v>236</v>
      </c>
      <c r="E10" s="1"/>
      <c r="F10" s="1"/>
      <c r="G10" s="1"/>
      <c r="H10" s="1"/>
      <c r="I10" s="1"/>
      <c r="J10" s="1"/>
      <c r="K10" s="1"/>
      <c r="L10" s="1"/>
      <c r="M10" s="1"/>
      <c r="N10" s="1"/>
      <c r="O10" s="1"/>
      <c r="P10" s="1"/>
      <c r="Q10" s="1"/>
      <c r="R10" s="1"/>
      <c r="S10" s="1"/>
      <c r="T10" s="1"/>
      <c r="U10" s="1"/>
      <c r="V10" s="1"/>
      <c r="W10" s="1"/>
      <c r="X10" s="1"/>
      <c r="Y10" s="1"/>
      <c r="Z10" s="1"/>
    </row>
    <row r="11" ht="15.75" customHeight="1">
      <c r="A11" s="102"/>
      <c r="B11" s="103" t="s">
        <v>246</v>
      </c>
      <c r="C11" s="104" t="s">
        <v>247</v>
      </c>
      <c r="D11" s="105" t="s">
        <v>236</v>
      </c>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5:A7"/>
    <mergeCell ref="A9:A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47.25"/>
    <col customWidth="1" min="2" max="2" width="58.0"/>
    <col customWidth="1" min="3" max="3" width="19.25"/>
    <col customWidth="1" min="4" max="4" width="4.75"/>
    <col customWidth="1" min="5" max="5" width="40.75"/>
    <col customWidth="1" min="6" max="6" width="60.25"/>
    <col customWidth="1" min="7" max="7" width="71.0"/>
    <col customWidth="1" min="8" max="26" width="11.0"/>
  </cols>
  <sheetData>
    <row r="1" ht="25.5" customHeight="1">
      <c r="A1" s="110" t="s">
        <v>248</v>
      </c>
      <c r="B1" s="28"/>
      <c r="C1" s="29"/>
      <c r="D1" s="1"/>
      <c r="E1" s="111" t="s">
        <v>249</v>
      </c>
      <c r="F1" s="29"/>
      <c r="G1" s="1"/>
      <c r="H1" s="1"/>
      <c r="I1" s="1"/>
      <c r="J1" s="1"/>
      <c r="K1" s="1"/>
      <c r="L1" s="1"/>
      <c r="M1" s="1"/>
      <c r="N1" s="1"/>
      <c r="O1" s="1"/>
      <c r="P1" s="1"/>
      <c r="Q1" s="1"/>
      <c r="R1" s="1"/>
      <c r="S1" s="1"/>
      <c r="T1" s="1"/>
      <c r="U1" s="1"/>
      <c r="V1" s="1"/>
      <c r="W1" s="1"/>
      <c r="X1" s="1"/>
    </row>
    <row r="2" ht="46.5" customHeight="1">
      <c r="A2" s="112" t="s">
        <v>250</v>
      </c>
      <c r="B2" s="112" t="s">
        <v>251</v>
      </c>
      <c r="C2" s="113" t="s">
        <v>252</v>
      </c>
      <c r="D2" s="1"/>
      <c r="E2" s="114" t="s">
        <v>250</v>
      </c>
      <c r="F2" s="114" t="s">
        <v>251</v>
      </c>
      <c r="G2" s="1"/>
      <c r="H2" s="1"/>
      <c r="I2" s="1"/>
      <c r="J2" s="1"/>
      <c r="K2" s="1"/>
      <c r="L2" s="1"/>
      <c r="M2" s="1"/>
      <c r="N2" s="1"/>
      <c r="O2" s="1"/>
      <c r="P2" s="1"/>
      <c r="Q2" s="1"/>
      <c r="R2" s="1"/>
      <c r="S2" s="1"/>
      <c r="T2" s="1"/>
      <c r="U2" s="1"/>
      <c r="V2" s="1"/>
      <c r="W2" s="1"/>
      <c r="X2" s="1"/>
    </row>
    <row r="3" ht="15.75" customHeight="1">
      <c r="A3" s="115" t="s">
        <v>253</v>
      </c>
      <c r="B3" s="116" t="s">
        <v>254</v>
      </c>
      <c r="C3" s="117"/>
      <c r="D3" s="1"/>
      <c r="E3" s="118" t="s">
        <v>255</v>
      </c>
      <c r="F3" s="119" t="s">
        <v>256</v>
      </c>
      <c r="G3" s="1"/>
      <c r="H3" s="1"/>
      <c r="I3" s="1"/>
      <c r="J3" s="1"/>
      <c r="K3" s="1"/>
      <c r="L3" s="1"/>
      <c r="M3" s="1"/>
      <c r="N3" s="1"/>
      <c r="O3" s="1"/>
      <c r="P3" s="1"/>
      <c r="Q3" s="1"/>
      <c r="R3" s="1"/>
      <c r="S3" s="1"/>
      <c r="T3" s="1"/>
      <c r="U3" s="1"/>
      <c r="V3" s="1"/>
      <c r="W3" s="1"/>
      <c r="X3" s="1"/>
    </row>
    <row r="4" ht="15.75" customHeight="1">
      <c r="A4" s="120" t="s">
        <v>257</v>
      </c>
      <c r="B4" s="121" t="s">
        <v>258</v>
      </c>
      <c r="C4" s="122"/>
      <c r="D4" s="1"/>
      <c r="E4" s="123" t="s">
        <v>257</v>
      </c>
      <c r="F4" s="124" t="s">
        <v>259</v>
      </c>
      <c r="G4" s="1"/>
      <c r="H4" s="1"/>
      <c r="I4" s="1"/>
      <c r="J4" s="1"/>
      <c r="K4" s="1"/>
      <c r="L4" s="1"/>
      <c r="M4" s="1"/>
      <c r="N4" s="1"/>
      <c r="O4" s="1"/>
      <c r="P4" s="1"/>
      <c r="Q4" s="1"/>
      <c r="R4" s="1"/>
      <c r="S4" s="1"/>
      <c r="T4" s="1"/>
      <c r="U4" s="1"/>
      <c r="V4" s="1"/>
      <c r="W4" s="1"/>
      <c r="X4" s="1"/>
    </row>
    <row r="5" ht="15.75" customHeight="1">
      <c r="A5" s="120" t="s">
        <v>260</v>
      </c>
      <c r="B5" s="121" t="s">
        <v>261</v>
      </c>
      <c r="C5" s="122"/>
      <c r="D5" s="1"/>
      <c r="E5" s="123" t="s">
        <v>262</v>
      </c>
      <c r="F5" s="124" t="s">
        <v>263</v>
      </c>
      <c r="G5" s="1"/>
      <c r="H5" s="1"/>
      <c r="I5" s="1"/>
      <c r="J5" s="1"/>
      <c r="K5" s="1"/>
      <c r="L5" s="1"/>
      <c r="M5" s="1"/>
      <c r="N5" s="1"/>
      <c r="O5" s="1"/>
      <c r="P5" s="1"/>
      <c r="Q5" s="1"/>
      <c r="R5" s="1"/>
      <c r="S5" s="1"/>
      <c r="T5" s="1"/>
      <c r="U5" s="1"/>
      <c r="V5" s="1"/>
      <c r="W5" s="1"/>
      <c r="X5" s="1"/>
    </row>
    <row r="6" ht="15.75" customHeight="1">
      <c r="A6" s="120" t="s">
        <v>264</v>
      </c>
      <c r="B6" s="121" t="s">
        <v>265</v>
      </c>
      <c r="C6" s="122"/>
      <c r="D6" s="1"/>
      <c r="E6" s="123" t="s">
        <v>266</v>
      </c>
      <c r="F6" s="124" t="s">
        <v>267</v>
      </c>
      <c r="G6" s="1"/>
      <c r="H6" s="1"/>
      <c r="I6" s="1"/>
      <c r="J6" s="1"/>
      <c r="K6" s="1"/>
      <c r="L6" s="1"/>
      <c r="M6" s="1"/>
      <c r="N6" s="1"/>
      <c r="O6" s="1"/>
      <c r="P6" s="1"/>
      <c r="Q6" s="1"/>
      <c r="R6" s="1"/>
      <c r="S6" s="1"/>
      <c r="T6" s="1"/>
      <c r="U6" s="1"/>
      <c r="V6" s="1"/>
      <c r="W6" s="1"/>
      <c r="X6" s="1"/>
    </row>
    <row r="7" ht="15.75" customHeight="1">
      <c r="A7" s="120" t="s">
        <v>268</v>
      </c>
      <c r="B7" s="121" t="s">
        <v>269</v>
      </c>
      <c r="C7" s="122"/>
      <c r="D7" s="1"/>
      <c r="E7" s="123" t="s">
        <v>270</v>
      </c>
      <c r="F7" s="124" t="s">
        <v>271</v>
      </c>
      <c r="G7" s="1"/>
      <c r="H7" s="1"/>
      <c r="I7" s="1"/>
      <c r="J7" s="1"/>
      <c r="K7" s="1"/>
      <c r="L7" s="1"/>
      <c r="M7" s="1"/>
      <c r="N7" s="1"/>
      <c r="O7" s="1"/>
      <c r="P7" s="1"/>
      <c r="Q7" s="1"/>
      <c r="R7" s="1"/>
      <c r="S7" s="1"/>
      <c r="T7" s="1"/>
      <c r="U7" s="1"/>
      <c r="V7" s="1"/>
      <c r="W7" s="1"/>
      <c r="X7" s="1"/>
    </row>
    <row r="8" ht="15.75" customHeight="1">
      <c r="A8" s="120" t="s">
        <v>272</v>
      </c>
      <c r="B8" s="121" t="s">
        <v>273</v>
      </c>
      <c r="C8" s="122"/>
      <c r="D8" s="1"/>
      <c r="E8" s="123" t="s">
        <v>274</v>
      </c>
      <c r="F8" s="124" t="s">
        <v>275</v>
      </c>
      <c r="G8" s="1"/>
      <c r="H8" s="1"/>
      <c r="I8" s="1"/>
      <c r="J8" s="1"/>
      <c r="K8" s="1"/>
      <c r="L8" s="1"/>
      <c r="M8" s="1"/>
      <c r="N8" s="1"/>
      <c r="O8" s="1"/>
      <c r="P8" s="1"/>
      <c r="Q8" s="1"/>
      <c r="R8" s="1"/>
      <c r="S8" s="1"/>
      <c r="T8" s="1"/>
      <c r="U8" s="1"/>
      <c r="V8" s="1"/>
      <c r="W8" s="1"/>
      <c r="X8" s="1"/>
    </row>
    <row r="9" ht="18.75" customHeight="1">
      <c r="A9" s="120" t="s">
        <v>276</v>
      </c>
      <c r="B9" s="121" t="s">
        <v>277</v>
      </c>
      <c r="C9" s="122"/>
      <c r="D9" s="1"/>
      <c r="E9" s="123" t="s">
        <v>278</v>
      </c>
      <c r="F9" s="124" t="s">
        <v>279</v>
      </c>
      <c r="G9" s="1"/>
      <c r="H9" s="1"/>
      <c r="I9" s="1"/>
      <c r="J9" s="1"/>
      <c r="K9" s="1"/>
      <c r="L9" s="1"/>
      <c r="M9" s="1"/>
      <c r="N9" s="1"/>
      <c r="O9" s="1"/>
      <c r="P9" s="1"/>
      <c r="Q9" s="1"/>
      <c r="R9" s="1"/>
      <c r="S9" s="1"/>
      <c r="T9" s="1"/>
      <c r="U9" s="1"/>
      <c r="V9" s="1"/>
      <c r="W9" s="1"/>
      <c r="X9" s="1"/>
    </row>
    <row r="10" ht="15.75" customHeight="1">
      <c r="A10" s="120" t="s">
        <v>280</v>
      </c>
      <c r="B10" s="121" t="s">
        <v>281</v>
      </c>
      <c r="C10" s="122"/>
      <c r="D10" s="1"/>
      <c r="E10" s="123" t="s">
        <v>282</v>
      </c>
      <c r="F10" s="124" t="s">
        <v>283</v>
      </c>
      <c r="G10" s="1"/>
      <c r="H10" s="1"/>
      <c r="I10" s="1"/>
      <c r="J10" s="1"/>
      <c r="K10" s="1"/>
      <c r="L10" s="1"/>
      <c r="M10" s="1"/>
      <c r="N10" s="1"/>
      <c r="O10" s="1"/>
      <c r="P10" s="1"/>
      <c r="Q10" s="1"/>
      <c r="R10" s="1"/>
      <c r="S10" s="1"/>
      <c r="T10" s="1"/>
      <c r="U10" s="1"/>
      <c r="V10" s="1"/>
      <c r="W10" s="1"/>
      <c r="X10" s="1"/>
    </row>
    <row r="11" ht="18.75" customHeight="1">
      <c r="A11" s="120" t="s">
        <v>284</v>
      </c>
      <c r="B11" s="121" t="s">
        <v>285</v>
      </c>
      <c r="C11" s="122"/>
      <c r="D11" s="1"/>
      <c r="E11" s="123" t="s">
        <v>286</v>
      </c>
      <c r="F11" s="124" t="s">
        <v>287</v>
      </c>
      <c r="G11" s="1"/>
      <c r="H11" s="1"/>
      <c r="I11" s="1"/>
      <c r="J11" s="1"/>
      <c r="K11" s="1"/>
      <c r="L11" s="1"/>
      <c r="M11" s="1"/>
      <c r="N11" s="1"/>
      <c r="O11" s="1"/>
      <c r="P11" s="1"/>
      <c r="Q11" s="1"/>
      <c r="R11" s="1"/>
      <c r="S11" s="1"/>
      <c r="T11" s="1"/>
      <c r="U11" s="1"/>
      <c r="V11" s="1"/>
      <c r="W11" s="1"/>
      <c r="X11" s="1"/>
    </row>
    <row r="12" ht="15.75" customHeight="1">
      <c r="A12" s="120" t="s">
        <v>288</v>
      </c>
      <c r="B12" s="121" t="s">
        <v>289</v>
      </c>
      <c r="C12" s="122"/>
      <c r="D12" s="1"/>
      <c r="E12" s="123" t="s">
        <v>290</v>
      </c>
      <c r="F12" s="124" t="s">
        <v>291</v>
      </c>
      <c r="G12" s="1"/>
      <c r="H12" s="1"/>
      <c r="I12" s="1"/>
      <c r="J12" s="1"/>
      <c r="K12" s="1"/>
      <c r="L12" s="1"/>
      <c r="M12" s="1"/>
      <c r="N12" s="1"/>
      <c r="O12" s="1"/>
      <c r="P12" s="1"/>
      <c r="Q12" s="1"/>
      <c r="R12" s="1"/>
      <c r="S12" s="1"/>
      <c r="T12" s="1"/>
      <c r="U12" s="1"/>
      <c r="V12" s="1"/>
      <c r="W12" s="1"/>
      <c r="X12" s="1"/>
    </row>
    <row r="13" ht="18.75" customHeight="1">
      <c r="A13" s="120" t="s">
        <v>292</v>
      </c>
      <c r="B13" s="121" t="s">
        <v>293</v>
      </c>
      <c r="C13" s="122"/>
      <c r="D13" s="1"/>
      <c r="E13" s="123" t="s">
        <v>294</v>
      </c>
      <c r="F13" s="124" t="s">
        <v>295</v>
      </c>
      <c r="G13" s="1"/>
      <c r="H13" s="1"/>
      <c r="I13" s="1"/>
      <c r="J13" s="1"/>
      <c r="K13" s="1"/>
      <c r="L13" s="1"/>
      <c r="M13" s="1"/>
      <c r="N13" s="1"/>
      <c r="O13" s="1"/>
      <c r="P13" s="1"/>
      <c r="Q13" s="1"/>
      <c r="R13" s="1"/>
      <c r="S13" s="1"/>
      <c r="T13" s="1"/>
      <c r="U13" s="1"/>
      <c r="V13" s="1"/>
      <c r="W13" s="1"/>
      <c r="X13" s="1"/>
    </row>
    <row r="14" ht="18.75" customHeight="1">
      <c r="A14" s="120" t="s">
        <v>296</v>
      </c>
      <c r="B14" s="121" t="s">
        <v>297</v>
      </c>
      <c r="C14" s="122"/>
      <c r="D14" s="1"/>
      <c r="E14" s="123" t="s">
        <v>298</v>
      </c>
      <c r="F14" s="124" t="s">
        <v>299</v>
      </c>
      <c r="G14" s="1"/>
      <c r="H14" s="1"/>
      <c r="I14" s="1"/>
      <c r="J14" s="1"/>
      <c r="K14" s="1"/>
      <c r="L14" s="1"/>
      <c r="M14" s="1"/>
      <c r="N14" s="1"/>
      <c r="O14" s="1"/>
      <c r="P14" s="1"/>
      <c r="Q14" s="1"/>
      <c r="R14" s="1"/>
      <c r="S14" s="1"/>
      <c r="T14" s="1"/>
      <c r="U14" s="1"/>
      <c r="V14" s="1"/>
      <c r="W14" s="1"/>
      <c r="X14" s="1"/>
    </row>
    <row r="15" ht="15.75" customHeight="1">
      <c r="A15" s="120" t="s">
        <v>300</v>
      </c>
      <c r="B15" s="121" t="s">
        <v>301</v>
      </c>
      <c r="C15" s="122"/>
      <c r="D15" s="1"/>
      <c r="E15" s="123" t="s">
        <v>300</v>
      </c>
      <c r="F15" s="124" t="s">
        <v>302</v>
      </c>
      <c r="G15" s="1"/>
      <c r="H15" s="1"/>
      <c r="I15" s="1"/>
      <c r="J15" s="1"/>
      <c r="K15" s="1"/>
      <c r="L15" s="1"/>
      <c r="M15" s="1"/>
      <c r="N15" s="1"/>
      <c r="O15" s="1"/>
      <c r="P15" s="1"/>
      <c r="Q15" s="1"/>
      <c r="R15" s="1"/>
      <c r="S15" s="1"/>
      <c r="T15" s="1"/>
      <c r="U15" s="1"/>
      <c r="V15" s="1"/>
      <c r="W15" s="1"/>
      <c r="X15" s="1"/>
    </row>
    <row r="16" ht="15.75" customHeight="1">
      <c r="A16" s="120" t="s">
        <v>303</v>
      </c>
      <c r="B16" s="121" t="s">
        <v>304</v>
      </c>
      <c r="C16" s="122"/>
      <c r="D16" s="1"/>
      <c r="E16" s="123" t="s">
        <v>305</v>
      </c>
      <c r="F16" s="124" t="s">
        <v>306</v>
      </c>
      <c r="G16" s="1"/>
      <c r="H16" s="1"/>
      <c r="I16" s="1"/>
      <c r="J16" s="1"/>
      <c r="K16" s="1"/>
      <c r="L16" s="1"/>
      <c r="M16" s="1"/>
      <c r="N16" s="1"/>
      <c r="O16" s="1"/>
      <c r="P16" s="1"/>
      <c r="Q16" s="1"/>
      <c r="R16" s="1"/>
      <c r="S16" s="1"/>
      <c r="T16" s="1"/>
      <c r="U16" s="1"/>
      <c r="V16" s="1"/>
      <c r="W16" s="1"/>
      <c r="X16" s="1"/>
    </row>
    <row r="17" ht="15.75" customHeight="1">
      <c r="A17" s="120" t="s">
        <v>307</v>
      </c>
      <c r="B17" s="121" t="s">
        <v>308</v>
      </c>
      <c r="C17" s="122"/>
      <c r="D17" s="1"/>
      <c r="E17" s="123" t="s">
        <v>309</v>
      </c>
      <c r="F17" s="124" t="s">
        <v>310</v>
      </c>
      <c r="G17" s="1"/>
      <c r="H17" s="1"/>
      <c r="I17" s="1"/>
      <c r="J17" s="1"/>
      <c r="K17" s="1"/>
      <c r="L17" s="1"/>
      <c r="M17" s="1"/>
      <c r="N17" s="1"/>
      <c r="O17" s="1"/>
      <c r="P17" s="1"/>
      <c r="Q17" s="1"/>
      <c r="R17" s="1"/>
      <c r="S17" s="1"/>
      <c r="T17" s="1"/>
      <c r="U17" s="1"/>
      <c r="V17" s="1"/>
      <c r="W17" s="1"/>
      <c r="X17" s="1"/>
    </row>
    <row r="18" ht="15.75" customHeight="1">
      <c r="A18" s="120" t="s">
        <v>311</v>
      </c>
      <c r="B18" s="121" t="s">
        <v>312</v>
      </c>
      <c r="C18" s="122"/>
      <c r="D18" s="1"/>
      <c r="E18" s="123" t="s">
        <v>264</v>
      </c>
      <c r="F18" s="124" t="s">
        <v>313</v>
      </c>
      <c r="G18" s="1"/>
      <c r="H18" s="1"/>
      <c r="I18" s="1"/>
      <c r="J18" s="1"/>
      <c r="K18" s="1"/>
      <c r="L18" s="1"/>
      <c r="M18" s="1"/>
      <c r="N18" s="1"/>
      <c r="O18" s="1"/>
      <c r="P18" s="1"/>
      <c r="Q18" s="1"/>
      <c r="R18" s="1"/>
      <c r="S18" s="1"/>
      <c r="T18" s="1"/>
      <c r="U18" s="1"/>
      <c r="V18" s="1"/>
      <c r="W18" s="1"/>
      <c r="X18" s="1"/>
    </row>
    <row r="19" ht="15.75" customHeight="1">
      <c r="A19" s="120" t="s">
        <v>314</v>
      </c>
      <c r="B19" s="121" t="s">
        <v>315</v>
      </c>
      <c r="C19" s="122"/>
      <c r="D19" s="1"/>
      <c r="E19" s="123" t="s">
        <v>316</v>
      </c>
      <c r="F19" s="124" t="s">
        <v>317</v>
      </c>
      <c r="G19" s="1"/>
      <c r="H19" s="1"/>
      <c r="I19" s="1"/>
      <c r="J19" s="1"/>
      <c r="K19" s="1"/>
      <c r="L19" s="1"/>
      <c r="M19" s="1"/>
      <c r="N19" s="1"/>
      <c r="O19" s="1"/>
      <c r="P19" s="1"/>
      <c r="Q19" s="1"/>
      <c r="R19" s="1"/>
      <c r="S19" s="1"/>
      <c r="T19" s="1"/>
      <c r="U19" s="1"/>
      <c r="V19" s="1"/>
      <c r="W19" s="1"/>
      <c r="X19" s="1"/>
    </row>
    <row r="20" ht="15.75" customHeight="1">
      <c r="A20" s="125" t="s">
        <v>318</v>
      </c>
      <c r="B20" s="121" t="s">
        <v>319</v>
      </c>
      <c r="C20" s="122"/>
      <c r="D20" s="1"/>
      <c r="E20" s="126" t="s">
        <v>268</v>
      </c>
      <c r="F20" s="124" t="s">
        <v>320</v>
      </c>
      <c r="G20" s="1"/>
      <c r="H20" s="1"/>
      <c r="I20" s="1"/>
      <c r="J20" s="1"/>
      <c r="K20" s="1"/>
      <c r="L20" s="1"/>
      <c r="M20" s="1"/>
      <c r="N20" s="1"/>
      <c r="O20" s="1"/>
      <c r="P20" s="1"/>
      <c r="Q20" s="1"/>
      <c r="R20" s="1"/>
      <c r="S20" s="1"/>
      <c r="T20" s="1"/>
      <c r="U20" s="1"/>
      <c r="V20" s="1"/>
      <c r="W20" s="1"/>
      <c r="X20" s="1"/>
    </row>
    <row r="21" ht="15.75" customHeight="1">
      <c r="A21" s="125" t="s">
        <v>321</v>
      </c>
      <c r="B21" s="121" t="s">
        <v>322</v>
      </c>
      <c r="C21" s="122"/>
      <c r="D21" s="1"/>
      <c r="E21" s="123" t="s">
        <v>323</v>
      </c>
      <c r="F21" s="124" t="s">
        <v>324</v>
      </c>
      <c r="G21" s="1"/>
      <c r="H21" s="1"/>
      <c r="I21" s="1"/>
      <c r="J21" s="1"/>
      <c r="K21" s="1"/>
      <c r="L21" s="1"/>
      <c r="M21" s="1"/>
      <c r="N21" s="1"/>
      <c r="O21" s="1"/>
      <c r="P21" s="1"/>
      <c r="Q21" s="1"/>
      <c r="R21" s="1"/>
      <c r="S21" s="1"/>
      <c r="T21" s="1"/>
      <c r="U21" s="1"/>
      <c r="V21" s="1"/>
      <c r="W21" s="1"/>
      <c r="X21" s="1"/>
    </row>
    <row r="22" ht="15.75" customHeight="1">
      <c r="A22" s="120" t="s">
        <v>325</v>
      </c>
      <c r="B22" s="121" t="s">
        <v>326</v>
      </c>
      <c r="C22" s="122"/>
      <c r="D22" s="1"/>
      <c r="E22" s="123" t="s">
        <v>327</v>
      </c>
      <c r="F22" s="124" t="s">
        <v>328</v>
      </c>
      <c r="G22" s="1"/>
      <c r="H22" s="1"/>
      <c r="I22" s="1"/>
      <c r="J22" s="1"/>
      <c r="K22" s="1"/>
      <c r="L22" s="1"/>
      <c r="M22" s="1"/>
      <c r="N22" s="1"/>
      <c r="O22" s="1"/>
      <c r="P22" s="1"/>
      <c r="Q22" s="1"/>
      <c r="R22" s="1"/>
      <c r="S22" s="1"/>
      <c r="T22" s="1"/>
      <c r="U22" s="1"/>
      <c r="V22" s="1"/>
      <c r="W22" s="1"/>
      <c r="X22" s="1"/>
    </row>
    <row r="23" ht="18.75" customHeight="1">
      <c r="A23" s="120" t="s">
        <v>329</v>
      </c>
      <c r="B23" s="121" t="s">
        <v>330</v>
      </c>
      <c r="C23" s="122"/>
      <c r="D23" s="1"/>
      <c r="E23" s="126" t="s">
        <v>331</v>
      </c>
      <c r="F23" s="124" t="s">
        <v>293</v>
      </c>
      <c r="G23" s="1"/>
      <c r="H23" s="1"/>
      <c r="I23" s="1"/>
      <c r="J23" s="1"/>
      <c r="K23" s="1"/>
      <c r="L23" s="1"/>
      <c r="M23" s="1"/>
      <c r="N23" s="1"/>
      <c r="O23" s="1"/>
      <c r="P23" s="1"/>
      <c r="Q23" s="1"/>
      <c r="R23" s="1"/>
      <c r="S23" s="1"/>
      <c r="T23" s="1"/>
      <c r="U23" s="1"/>
      <c r="V23" s="1"/>
      <c r="W23" s="1"/>
      <c r="X23" s="1"/>
    </row>
    <row r="24" ht="15.75" customHeight="1">
      <c r="A24" s="120" t="s">
        <v>332</v>
      </c>
      <c r="B24" s="121" t="s">
        <v>333</v>
      </c>
      <c r="C24" s="122"/>
      <c r="D24" s="1"/>
      <c r="E24" s="123" t="s">
        <v>334</v>
      </c>
      <c r="F24" s="124" t="s">
        <v>335</v>
      </c>
      <c r="G24" s="1"/>
      <c r="H24" s="1"/>
      <c r="I24" s="1"/>
      <c r="J24" s="1"/>
      <c r="K24" s="1"/>
      <c r="L24" s="1"/>
      <c r="M24" s="1"/>
      <c r="N24" s="1"/>
      <c r="O24" s="1"/>
      <c r="P24" s="1"/>
      <c r="Q24" s="1"/>
      <c r="R24" s="1"/>
      <c r="S24" s="1"/>
      <c r="T24" s="1"/>
      <c r="U24" s="1"/>
      <c r="V24" s="1"/>
      <c r="W24" s="1"/>
      <c r="X24" s="1"/>
    </row>
    <row r="25" ht="15.75" customHeight="1">
      <c r="A25" s="120" t="s">
        <v>336</v>
      </c>
      <c r="B25" s="121" t="s">
        <v>333</v>
      </c>
      <c r="C25" s="122"/>
      <c r="D25" s="1"/>
      <c r="E25" s="123" t="s">
        <v>337</v>
      </c>
      <c r="F25" s="124" t="s">
        <v>338</v>
      </c>
      <c r="G25" s="1"/>
      <c r="H25" s="1"/>
      <c r="I25" s="1"/>
      <c r="J25" s="1"/>
      <c r="K25" s="1"/>
      <c r="L25" s="1"/>
      <c r="M25" s="1"/>
      <c r="N25" s="1"/>
      <c r="O25" s="1"/>
      <c r="P25" s="1"/>
      <c r="Q25" s="1"/>
      <c r="R25" s="1"/>
      <c r="S25" s="1"/>
      <c r="T25" s="1"/>
      <c r="U25" s="1"/>
      <c r="V25" s="1"/>
      <c r="W25" s="1"/>
      <c r="X25" s="1"/>
    </row>
    <row r="26" ht="18.75" customHeight="1">
      <c r="A26" s="120" t="s">
        <v>334</v>
      </c>
      <c r="B26" s="121" t="s">
        <v>339</v>
      </c>
      <c r="C26" s="122"/>
      <c r="D26" s="1"/>
      <c r="E26" s="123" t="s">
        <v>340</v>
      </c>
      <c r="F26" s="124" t="s">
        <v>341</v>
      </c>
      <c r="G26" s="1"/>
      <c r="H26" s="1"/>
      <c r="I26" s="1"/>
      <c r="J26" s="1"/>
      <c r="K26" s="1"/>
      <c r="L26" s="1"/>
      <c r="M26" s="1"/>
      <c r="N26" s="1"/>
      <c r="O26" s="1"/>
      <c r="P26" s="1"/>
      <c r="Q26" s="1"/>
      <c r="R26" s="1"/>
      <c r="S26" s="1"/>
      <c r="T26" s="1"/>
      <c r="U26" s="1"/>
      <c r="V26" s="1"/>
      <c r="W26" s="1"/>
      <c r="X26" s="1"/>
    </row>
    <row r="27" ht="15.75" customHeight="1">
      <c r="A27" s="120" t="s">
        <v>342</v>
      </c>
      <c r="B27" s="121" t="s">
        <v>343</v>
      </c>
      <c r="C27" s="122"/>
      <c r="D27" s="1"/>
      <c r="E27" s="123" t="s">
        <v>344</v>
      </c>
      <c r="F27" s="124" t="s">
        <v>345</v>
      </c>
      <c r="G27" s="1"/>
      <c r="H27" s="1"/>
      <c r="I27" s="1"/>
      <c r="J27" s="1"/>
      <c r="K27" s="1"/>
      <c r="L27" s="1"/>
      <c r="M27" s="1"/>
      <c r="N27" s="1"/>
      <c r="O27" s="1"/>
      <c r="P27" s="1"/>
      <c r="Q27" s="1"/>
      <c r="R27" s="1"/>
      <c r="S27" s="1"/>
      <c r="T27" s="1"/>
      <c r="U27" s="1"/>
      <c r="V27" s="1"/>
      <c r="W27" s="1"/>
      <c r="X27" s="1"/>
    </row>
    <row r="28" ht="15.75" customHeight="1">
      <c r="A28" s="120" t="s">
        <v>346</v>
      </c>
      <c r="B28" s="121" t="s">
        <v>347</v>
      </c>
      <c r="C28" s="122"/>
      <c r="D28" s="1"/>
      <c r="E28" s="123" t="s">
        <v>348</v>
      </c>
      <c r="F28" s="124" t="s">
        <v>349</v>
      </c>
      <c r="G28" s="1"/>
      <c r="H28" s="1"/>
      <c r="I28" s="1"/>
      <c r="J28" s="1"/>
      <c r="K28" s="1"/>
      <c r="L28" s="1"/>
      <c r="M28" s="1"/>
      <c r="N28" s="1"/>
      <c r="O28" s="1"/>
      <c r="P28" s="1"/>
      <c r="Q28" s="1"/>
      <c r="R28" s="1"/>
      <c r="S28" s="1"/>
      <c r="T28" s="1"/>
      <c r="U28" s="1"/>
      <c r="V28" s="1"/>
      <c r="W28" s="1"/>
      <c r="X28" s="1"/>
    </row>
    <row r="29" ht="18.75" customHeight="1">
      <c r="A29" s="120" t="s">
        <v>350</v>
      </c>
      <c r="B29" s="121" t="s">
        <v>351</v>
      </c>
      <c r="C29" s="122"/>
      <c r="D29" s="1"/>
      <c r="E29" s="123" t="s">
        <v>352</v>
      </c>
      <c r="F29" s="124" t="s">
        <v>353</v>
      </c>
      <c r="G29" s="1"/>
      <c r="H29" s="1"/>
      <c r="I29" s="1"/>
      <c r="J29" s="1"/>
      <c r="K29" s="1"/>
      <c r="L29" s="1"/>
      <c r="M29" s="1"/>
      <c r="N29" s="1"/>
      <c r="O29" s="1"/>
      <c r="P29" s="1"/>
      <c r="Q29" s="1"/>
      <c r="R29" s="1"/>
      <c r="S29" s="1"/>
      <c r="T29" s="1"/>
      <c r="U29" s="1"/>
      <c r="V29" s="1"/>
      <c r="W29" s="1"/>
      <c r="X29" s="1"/>
    </row>
    <row r="30" ht="15.75" customHeight="1">
      <c r="A30" s="120" t="s">
        <v>354</v>
      </c>
      <c r="B30" s="121" t="s">
        <v>355</v>
      </c>
      <c r="C30" s="122"/>
      <c r="D30" s="1"/>
      <c r="E30" s="123" t="s">
        <v>356</v>
      </c>
      <c r="F30" s="124" t="s">
        <v>357</v>
      </c>
      <c r="G30" s="1"/>
      <c r="H30" s="1"/>
      <c r="I30" s="1"/>
      <c r="J30" s="1"/>
      <c r="K30" s="1"/>
      <c r="L30" s="1"/>
      <c r="M30" s="1"/>
      <c r="N30" s="1"/>
      <c r="O30" s="1"/>
      <c r="P30" s="1"/>
      <c r="Q30" s="1"/>
      <c r="R30" s="1"/>
      <c r="S30" s="1"/>
      <c r="T30" s="1"/>
      <c r="U30" s="1"/>
      <c r="V30" s="1"/>
      <c r="W30" s="1"/>
      <c r="X30" s="1"/>
    </row>
    <row r="31" ht="15.75" customHeight="1">
      <c r="A31" s="120" t="s">
        <v>358</v>
      </c>
      <c r="B31" s="121" t="s">
        <v>359</v>
      </c>
      <c r="C31" s="122"/>
      <c r="D31" s="1"/>
      <c r="E31" s="123" t="s">
        <v>360</v>
      </c>
      <c r="F31" s="124" t="s">
        <v>361</v>
      </c>
      <c r="G31" s="1"/>
      <c r="H31" s="1"/>
      <c r="I31" s="1"/>
      <c r="J31" s="1"/>
      <c r="K31" s="1"/>
      <c r="L31" s="1"/>
      <c r="M31" s="1"/>
      <c r="N31" s="1"/>
      <c r="O31" s="1"/>
      <c r="P31" s="1"/>
      <c r="Q31" s="1"/>
      <c r="R31" s="1"/>
      <c r="S31" s="1"/>
      <c r="T31" s="1"/>
      <c r="U31" s="1"/>
      <c r="V31" s="1"/>
      <c r="W31" s="1"/>
      <c r="X31" s="1"/>
    </row>
    <row r="32" ht="15.75" customHeight="1">
      <c r="A32" s="120" t="s">
        <v>362</v>
      </c>
      <c r="B32" s="121" t="s">
        <v>363</v>
      </c>
      <c r="C32" s="122"/>
      <c r="D32" s="1"/>
      <c r="E32" s="123" t="s">
        <v>364</v>
      </c>
      <c r="F32" s="124" t="s">
        <v>365</v>
      </c>
      <c r="G32" s="1"/>
      <c r="H32" s="1"/>
      <c r="I32" s="1"/>
      <c r="J32" s="1"/>
      <c r="K32" s="1"/>
      <c r="L32" s="1"/>
      <c r="M32" s="1"/>
      <c r="N32" s="1"/>
      <c r="O32" s="1"/>
      <c r="P32" s="1"/>
      <c r="Q32" s="1"/>
      <c r="R32" s="1"/>
      <c r="S32" s="1"/>
      <c r="T32" s="1"/>
      <c r="U32" s="1"/>
      <c r="V32" s="1"/>
      <c r="W32" s="1"/>
      <c r="X32" s="1"/>
    </row>
    <row r="33" ht="15.75" customHeight="1">
      <c r="A33" s="120" t="s">
        <v>366</v>
      </c>
      <c r="B33" s="121" t="s">
        <v>367</v>
      </c>
      <c r="C33" s="122"/>
      <c r="D33" s="1"/>
      <c r="E33" s="123" t="s">
        <v>368</v>
      </c>
      <c r="F33" s="124" t="s">
        <v>369</v>
      </c>
      <c r="G33" s="1"/>
      <c r="H33" s="1"/>
      <c r="I33" s="1"/>
      <c r="J33" s="1"/>
      <c r="K33" s="1"/>
      <c r="L33" s="1"/>
      <c r="M33" s="1"/>
      <c r="N33" s="1"/>
      <c r="O33" s="1"/>
      <c r="P33" s="1"/>
      <c r="Q33" s="1"/>
      <c r="R33" s="1"/>
      <c r="S33" s="1"/>
      <c r="T33" s="1"/>
      <c r="U33" s="1"/>
      <c r="V33" s="1"/>
      <c r="W33" s="1"/>
      <c r="X33" s="1"/>
    </row>
    <row r="34" ht="18.75" customHeight="1">
      <c r="A34" s="120"/>
      <c r="B34" s="121"/>
      <c r="C34" s="122"/>
      <c r="D34" s="1"/>
      <c r="E34" s="123" t="s">
        <v>370</v>
      </c>
      <c r="F34" s="124" t="s">
        <v>371</v>
      </c>
      <c r="G34" s="1"/>
      <c r="H34" s="1"/>
      <c r="I34" s="1"/>
      <c r="J34" s="1"/>
      <c r="K34" s="1"/>
      <c r="L34" s="1"/>
      <c r="M34" s="1"/>
      <c r="N34" s="1"/>
      <c r="O34" s="1"/>
      <c r="P34" s="1"/>
      <c r="Q34" s="1"/>
      <c r="R34" s="1"/>
      <c r="S34" s="1"/>
      <c r="T34" s="1"/>
      <c r="U34" s="1"/>
      <c r="V34" s="1"/>
      <c r="W34" s="1"/>
      <c r="X34" s="1"/>
    </row>
    <row r="35" ht="18.75" customHeight="1">
      <c r="A35" s="120"/>
      <c r="B35" s="121"/>
      <c r="C35" s="122"/>
      <c r="D35" s="1"/>
      <c r="E35" s="123" t="s">
        <v>372</v>
      </c>
      <c r="F35" s="124" t="s">
        <v>373</v>
      </c>
      <c r="G35" s="1"/>
      <c r="H35" s="1"/>
      <c r="I35" s="1"/>
      <c r="J35" s="1"/>
      <c r="K35" s="1"/>
      <c r="L35" s="1"/>
      <c r="M35" s="1"/>
      <c r="N35" s="1"/>
      <c r="O35" s="1"/>
      <c r="P35" s="1"/>
      <c r="Q35" s="1"/>
      <c r="R35" s="1"/>
      <c r="S35" s="1"/>
      <c r="T35" s="1"/>
      <c r="U35" s="1"/>
      <c r="V35" s="1"/>
      <c r="W35" s="1"/>
      <c r="X35" s="1"/>
    </row>
    <row r="36" ht="18.75" customHeight="1">
      <c r="A36" s="120"/>
      <c r="B36" s="121"/>
      <c r="C36" s="122"/>
      <c r="D36" s="1"/>
      <c r="E36" s="123" t="s">
        <v>374</v>
      </c>
      <c r="F36" s="124" t="s">
        <v>375</v>
      </c>
      <c r="G36" s="1"/>
      <c r="H36" s="1"/>
      <c r="I36" s="1"/>
      <c r="J36" s="1"/>
      <c r="K36" s="1"/>
      <c r="L36" s="1"/>
      <c r="M36" s="1"/>
      <c r="N36" s="1"/>
      <c r="O36" s="1"/>
      <c r="P36" s="1"/>
      <c r="Q36" s="1"/>
      <c r="R36" s="1"/>
      <c r="S36" s="1"/>
      <c r="T36" s="1"/>
      <c r="U36" s="1"/>
      <c r="V36" s="1"/>
      <c r="W36" s="1"/>
      <c r="X36" s="1"/>
    </row>
    <row r="37" ht="18.75" customHeight="1">
      <c r="A37" s="120"/>
      <c r="B37" s="121"/>
      <c r="C37" s="122"/>
      <c r="D37" s="1"/>
      <c r="E37" s="123" t="s">
        <v>376</v>
      </c>
      <c r="F37" s="124" t="s">
        <v>377</v>
      </c>
      <c r="G37" s="1"/>
      <c r="H37" s="1"/>
      <c r="I37" s="1"/>
      <c r="J37" s="1"/>
      <c r="K37" s="1"/>
      <c r="L37" s="1"/>
      <c r="M37" s="1"/>
      <c r="N37" s="1"/>
      <c r="O37" s="1"/>
      <c r="P37" s="1"/>
      <c r="Q37" s="1"/>
      <c r="R37" s="1"/>
      <c r="S37" s="1"/>
      <c r="T37" s="1"/>
      <c r="U37" s="1"/>
      <c r="V37" s="1"/>
      <c r="W37" s="1"/>
      <c r="X37" s="1"/>
    </row>
    <row r="38" ht="18.75" customHeight="1">
      <c r="A38" s="120"/>
      <c r="B38" s="121"/>
      <c r="C38" s="122"/>
      <c r="D38" s="1"/>
      <c r="E38" s="123" t="s">
        <v>378</v>
      </c>
      <c r="F38" s="124" t="s">
        <v>379</v>
      </c>
      <c r="G38" s="1"/>
      <c r="H38" s="1"/>
      <c r="I38" s="1"/>
      <c r="J38" s="1"/>
      <c r="K38" s="1"/>
      <c r="L38" s="1"/>
      <c r="M38" s="1"/>
      <c r="N38" s="1"/>
      <c r="O38" s="1"/>
      <c r="P38" s="1"/>
      <c r="Q38" s="1"/>
      <c r="R38" s="1"/>
      <c r="S38" s="1"/>
      <c r="T38" s="1"/>
      <c r="U38" s="1"/>
      <c r="V38" s="1"/>
      <c r="W38" s="1"/>
      <c r="X38" s="1"/>
    </row>
    <row r="39" ht="18.75" customHeight="1">
      <c r="A39" s="120"/>
      <c r="B39" s="121"/>
      <c r="C39" s="122"/>
      <c r="D39" s="1"/>
      <c r="E39" s="123" t="s">
        <v>380</v>
      </c>
      <c r="F39" s="124" t="s">
        <v>381</v>
      </c>
      <c r="G39" s="1"/>
      <c r="H39" s="1"/>
      <c r="I39" s="1"/>
      <c r="J39" s="1"/>
      <c r="K39" s="1"/>
      <c r="L39" s="1"/>
      <c r="M39" s="1"/>
      <c r="N39" s="1"/>
      <c r="O39" s="1"/>
      <c r="P39" s="1"/>
      <c r="Q39" s="1"/>
      <c r="R39" s="1"/>
      <c r="S39" s="1"/>
      <c r="T39" s="1"/>
      <c r="U39" s="1"/>
      <c r="V39" s="1"/>
      <c r="W39" s="1"/>
      <c r="X39" s="1"/>
    </row>
    <row r="40" ht="18.75" customHeight="1">
      <c r="A40" s="120"/>
      <c r="B40" s="121"/>
      <c r="C40" s="122"/>
      <c r="D40" s="1"/>
      <c r="E40" s="123" t="s">
        <v>382</v>
      </c>
      <c r="F40" s="124" t="s">
        <v>383</v>
      </c>
      <c r="G40" s="1"/>
      <c r="H40" s="1"/>
      <c r="I40" s="1"/>
      <c r="J40" s="1"/>
      <c r="K40" s="1"/>
      <c r="L40" s="1"/>
      <c r="M40" s="1"/>
      <c r="N40" s="1"/>
      <c r="O40" s="1"/>
      <c r="P40" s="1"/>
      <c r="Q40" s="1"/>
      <c r="R40" s="1"/>
      <c r="S40" s="1"/>
      <c r="T40" s="1"/>
      <c r="U40" s="1"/>
      <c r="V40" s="1"/>
      <c r="W40" s="1"/>
      <c r="X40" s="1"/>
    </row>
    <row r="41" ht="18.75" customHeight="1">
      <c r="A41" s="120"/>
      <c r="B41" s="121"/>
      <c r="C41" s="122"/>
      <c r="D41" s="1"/>
      <c r="E41" s="127"/>
      <c r="F41" s="122"/>
      <c r="G41" s="1"/>
      <c r="H41" s="1"/>
      <c r="I41" s="1"/>
      <c r="J41" s="1"/>
      <c r="K41" s="1"/>
      <c r="L41" s="1"/>
      <c r="M41" s="1"/>
      <c r="N41" s="1"/>
      <c r="O41" s="1"/>
      <c r="P41" s="1"/>
      <c r="Q41" s="1"/>
      <c r="R41" s="1"/>
      <c r="S41" s="1"/>
      <c r="T41" s="1"/>
      <c r="U41" s="1"/>
      <c r="V41" s="1"/>
      <c r="W41" s="1"/>
      <c r="X41" s="1"/>
    </row>
    <row r="42" ht="18.75" customHeight="1">
      <c r="A42" s="120"/>
      <c r="B42" s="121"/>
      <c r="C42" s="122"/>
      <c r="D42" s="1"/>
      <c r="E42" s="127"/>
      <c r="F42" s="122"/>
      <c r="G42" s="1"/>
      <c r="H42" s="1"/>
      <c r="I42" s="1"/>
      <c r="J42" s="1"/>
      <c r="K42" s="1"/>
      <c r="L42" s="1"/>
      <c r="M42" s="1"/>
      <c r="N42" s="1"/>
      <c r="O42" s="1"/>
      <c r="P42" s="1"/>
      <c r="Q42" s="1"/>
      <c r="R42" s="1"/>
      <c r="S42" s="1"/>
      <c r="T42" s="1"/>
      <c r="U42" s="1"/>
      <c r="V42" s="1"/>
      <c r="W42" s="1"/>
      <c r="X42" s="1"/>
    </row>
    <row r="43" ht="18.75" customHeight="1">
      <c r="A43" s="120"/>
      <c r="B43" s="121"/>
      <c r="C43" s="122"/>
      <c r="D43" s="1"/>
      <c r="E43" s="127"/>
      <c r="F43" s="122"/>
      <c r="G43" s="1"/>
      <c r="H43" s="1"/>
      <c r="I43" s="1"/>
      <c r="J43" s="1"/>
      <c r="K43" s="1"/>
      <c r="L43" s="1"/>
      <c r="M43" s="1"/>
      <c r="N43" s="1"/>
      <c r="O43" s="1"/>
      <c r="P43" s="1"/>
      <c r="Q43" s="1"/>
      <c r="R43" s="1"/>
      <c r="S43" s="1"/>
      <c r="T43" s="1"/>
      <c r="U43" s="1"/>
      <c r="V43" s="1"/>
      <c r="W43" s="1"/>
      <c r="X43" s="1"/>
    </row>
    <row r="44" ht="18.75" customHeight="1">
      <c r="A44" s="120"/>
      <c r="B44" s="121"/>
      <c r="C44" s="122"/>
      <c r="D44" s="1"/>
      <c r="E44" s="127"/>
      <c r="F44" s="122"/>
      <c r="G44" s="1"/>
      <c r="H44" s="1"/>
      <c r="I44" s="1"/>
      <c r="J44" s="1"/>
      <c r="K44" s="1"/>
      <c r="L44" s="1"/>
      <c r="M44" s="1"/>
      <c r="N44" s="1"/>
      <c r="O44" s="1"/>
      <c r="P44" s="1"/>
      <c r="Q44" s="1"/>
      <c r="R44" s="1"/>
      <c r="S44" s="1"/>
      <c r="T44" s="1"/>
      <c r="U44" s="1"/>
      <c r="V44" s="1"/>
      <c r="W44" s="1"/>
      <c r="X44" s="1"/>
    </row>
    <row r="45" ht="18.75" customHeight="1">
      <c r="A45" s="120"/>
      <c r="B45" s="121"/>
      <c r="C45" s="122"/>
      <c r="D45" s="1"/>
      <c r="E45" s="127"/>
      <c r="F45" s="122"/>
      <c r="G45" s="1"/>
      <c r="H45" s="1"/>
      <c r="I45" s="1"/>
      <c r="J45" s="1"/>
      <c r="K45" s="1"/>
      <c r="L45" s="1"/>
      <c r="M45" s="1"/>
      <c r="N45" s="1"/>
      <c r="O45" s="1"/>
      <c r="P45" s="1"/>
      <c r="Q45" s="1"/>
      <c r="R45" s="1"/>
      <c r="S45" s="1"/>
      <c r="T45" s="1"/>
      <c r="U45" s="1"/>
      <c r="V45" s="1"/>
      <c r="W45" s="1"/>
      <c r="X45" s="1"/>
    </row>
    <row r="46" ht="18.75" customHeight="1">
      <c r="A46" s="120"/>
      <c r="B46" s="121"/>
      <c r="C46" s="122"/>
      <c r="D46" s="1"/>
      <c r="E46" s="127"/>
      <c r="F46" s="122"/>
      <c r="G46" s="1"/>
      <c r="H46" s="1"/>
      <c r="I46" s="1"/>
      <c r="J46" s="1"/>
      <c r="K46" s="1"/>
      <c r="L46" s="1"/>
      <c r="M46" s="1"/>
      <c r="N46" s="1"/>
      <c r="O46" s="1"/>
      <c r="P46" s="1"/>
      <c r="Q46" s="1"/>
      <c r="R46" s="1"/>
      <c r="S46" s="1"/>
      <c r="T46" s="1"/>
      <c r="U46" s="1"/>
      <c r="V46" s="1"/>
      <c r="W46" s="1"/>
      <c r="X46" s="1"/>
    </row>
    <row r="47" ht="18.75" customHeight="1">
      <c r="A47" s="120"/>
      <c r="B47" s="121"/>
      <c r="C47" s="122"/>
      <c r="D47" s="1"/>
      <c r="E47" s="127"/>
      <c r="F47" s="122"/>
      <c r="G47" s="1"/>
      <c r="H47" s="1"/>
      <c r="I47" s="1"/>
      <c r="J47" s="1"/>
      <c r="K47" s="1"/>
      <c r="L47" s="1"/>
      <c r="M47" s="1"/>
      <c r="N47" s="1"/>
      <c r="O47" s="1"/>
      <c r="P47" s="1"/>
      <c r="Q47" s="1"/>
      <c r="R47" s="1"/>
      <c r="S47" s="1"/>
      <c r="T47" s="1"/>
      <c r="U47" s="1"/>
      <c r="V47" s="1"/>
      <c r="W47" s="1"/>
      <c r="X47" s="1"/>
    </row>
    <row r="48" ht="18.75" customHeight="1">
      <c r="A48" s="120"/>
      <c r="B48" s="121"/>
      <c r="C48" s="122"/>
      <c r="D48" s="1"/>
      <c r="E48" s="127"/>
      <c r="F48" s="122"/>
      <c r="G48" s="1"/>
      <c r="H48" s="1"/>
      <c r="I48" s="1"/>
      <c r="J48" s="1"/>
      <c r="K48" s="1"/>
      <c r="L48" s="1"/>
      <c r="M48" s="1"/>
      <c r="N48" s="1"/>
      <c r="O48" s="1"/>
      <c r="P48" s="1"/>
      <c r="Q48" s="1"/>
      <c r="R48" s="1"/>
      <c r="S48" s="1"/>
      <c r="T48" s="1"/>
      <c r="U48" s="1"/>
      <c r="V48" s="1"/>
      <c r="W48" s="1"/>
      <c r="X48" s="1"/>
    </row>
    <row r="49" ht="18.75" customHeight="1">
      <c r="A49" s="120"/>
      <c r="B49" s="121"/>
      <c r="C49" s="122"/>
      <c r="D49" s="1"/>
      <c r="E49" s="127"/>
      <c r="F49" s="122"/>
      <c r="G49" s="1"/>
      <c r="H49" s="1"/>
      <c r="I49" s="1"/>
      <c r="J49" s="1"/>
      <c r="K49" s="1"/>
      <c r="L49" s="1"/>
      <c r="M49" s="1"/>
      <c r="N49" s="1"/>
      <c r="O49" s="1"/>
      <c r="P49" s="1"/>
      <c r="Q49" s="1"/>
      <c r="R49" s="1"/>
      <c r="S49" s="1"/>
      <c r="T49" s="1"/>
      <c r="U49" s="1"/>
      <c r="V49" s="1"/>
      <c r="W49" s="1"/>
      <c r="X49" s="1"/>
    </row>
    <row r="50" ht="18.75" customHeight="1">
      <c r="A50" s="120"/>
      <c r="B50" s="121"/>
      <c r="C50" s="122"/>
      <c r="D50" s="1"/>
      <c r="E50" s="127"/>
      <c r="F50" s="122"/>
      <c r="G50" s="1"/>
      <c r="H50" s="1"/>
      <c r="I50" s="1"/>
      <c r="J50" s="1"/>
      <c r="K50" s="1"/>
      <c r="L50" s="1"/>
      <c r="M50" s="1"/>
      <c r="N50" s="1"/>
      <c r="O50" s="1"/>
      <c r="P50" s="1"/>
      <c r="Q50" s="1"/>
      <c r="R50" s="1"/>
      <c r="S50" s="1"/>
      <c r="T50" s="1"/>
      <c r="U50" s="1"/>
      <c r="V50" s="1"/>
      <c r="W50" s="1"/>
      <c r="X50" s="1"/>
    </row>
    <row r="51" ht="18.75" customHeight="1">
      <c r="A51" s="120"/>
      <c r="B51" s="121"/>
      <c r="C51" s="122"/>
      <c r="D51" s="1"/>
      <c r="E51" s="127"/>
      <c r="F51" s="122"/>
      <c r="G51" s="1"/>
      <c r="H51" s="1"/>
      <c r="I51" s="1"/>
      <c r="J51" s="1"/>
      <c r="K51" s="1"/>
      <c r="L51" s="1"/>
      <c r="M51" s="1"/>
      <c r="N51" s="1"/>
      <c r="O51" s="1"/>
      <c r="P51" s="1"/>
      <c r="Q51" s="1"/>
      <c r="R51" s="1"/>
      <c r="S51" s="1"/>
      <c r="T51" s="1"/>
      <c r="U51" s="1"/>
      <c r="V51" s="1"/>
      <c r="W51" s="1"/>
      <c r="X51" s="1"/>
    </row>
    <row r="52" ht="18.75" customHeight="1">
      <c r="A52" s="120"/>
      <c r="B52" s="121"/>
      <c r="C52" s="122"/>
      <c r="D52" s="1"/>
      <c r="E52" s="127"/>
      <c r="F52" s="122"/>
      <c r="G52" s="1"/>
      <c r="H52" s="1"/>
      <c r="I52" s="1"/>
      <c r="J52" s="1"/>
      <c r="K52" s="1"/>
      <c r="L52" s="1"/>
      <c r="M52" s="1"/>
      <c r="N52" s="1"/>
      <c r="O52" s="1"/>
      <c r="P52" s="1"/>
      <c r="Q52" s="1"/>
      <c r="R52" s="1"/>
      <c r="S52" s="1"/>
      <c r="T52" s="1"/>
      <c r="U52" s="1"/>
      <c r="V52" s="1"/>
      <c r="W52" s="1"/>
      <c r="X52" s="1"/>
    </row>
    <row r="53" ht="18.75" customHeight="1">
      <c r="A53" s="120"/>
      <c r="B53" s="121"/>
      <c r="C53" s="122"/>
      <c r="D53" s="1"/>
      <c r="E53" s="127"/>
      <c r="F53" s="122"/>
      <c r="G53" s="1"/>
      <c r="H53" s="1"/>
      <c r="I53" s="1"/>
      <c r="J53" s="1"/>
      <c r="K53" s="1"/>
      <c r="L53" s="1"/>
      <c r="M53" s="1"/>
      <c r="N53" s="1"/>
      <c r="O53" s="1"/>
      <c r="P53" s="1"/>
      <c r="Q53" s="1"/>
      <c r="R53" s="1"/>
      <c r="S53" s="1"/>
      <c r="T53" s="1"/>
      <c r="U53" s="1"/>
      <c r="V53" s="1"/>
      <c r="W53" s="1"/>
      <c r="X53" s="1"/>
    </row>
    <row r="54" ht="18.75" customHeight="1">
      <c r="A54" s="120"/>
      <c r="B54" s="121"/>
      <c r="C54" s="122"/>
      <c r="D54" s="1"/>
      <c r="E54" s="127"/>
      <c r="F54" s="122"/>
      <c r="G54" s="1"/>
      <c r="H54" s="1"/>
      <c r="I54" s="1"/>
      <c r="J54" s="1"/>
      <c r="K54" s="1"/>
      <c r="L54" s="1"/>
      <c r="M54" s="1"/>
      <c r="N54" s="1"/>
      <c r="O54" s="1"/>
      <c r="P54" s="1"/>
      <c r="Q54" s="1"/>
      <c r="R54" s="1"/>
      <c r="S54" s="1"/>
      <c r="T54" s="1"/>
      <c r="U54" s="1"/>
      <c r="V54" s="1"/>
      <c r="W54" s="1"/>
      <c r="X54" s="1"/>
    </row>
    <row r="55" ht="18.75" customHeight="1">
      <c r="A55" s="120"/>
      <c r="B55" s="121"/>
      <c r="C55" s="122"/>
      <c r="D55" s="1"/>
      <c r="E55" s="127"/>
      <c r="F55" s="122"/>
      <c r="G55" s="1"/>
      <c r="H55" s="1"/>
      <c r="I55" s="1"/>
      <c r="J55" s="1"/>
      <c r="K55" s="1"/>
      <c r="L55" s="1"/>
      <c r="M55" s="1"/>
      <c r="N55" s="1"/>
      <c r="O55" s="1"/>
      <c r="P55" s="1"/>
      <c r="Q55" s="1"/>
      <c r="R55" s="1"/>
      <c r="S55" s="1"/>
      <c r="T55" s="1"/>
      <c r="U55" s="1"/>
      <c r="V55" s="1"/>
      <c r="W55" s="1"/>
      <c r="X55" s="1"/>
    </row>
    <row r="56" ht="18.75" customHeight="1">
      <c r="A56" s="120"/>
      <c r="B56" s="121"/>
      <c r="C56" s="122"/>
      <c r="D56" s="1"/>
      <c r="E56" s="127"/>
      <c r="F56" s="122"/>
      <c r="G56" s="1"/>
      <c r="H56" s="1"/>
      <c r="I56" s="1"/>
      <c r="J56" s="1"/>
      <c r="K56" s="1"/>
      <c r="L56" s="1"/>
      <c r="M56" s="1"/>
      <c r="N56" s="1"/>
      <c r="O56" s="1"/>
      <c r="P56" s="1"/>
      <c r="Q56" s="1"/>
      <c r="R56" s="1"/>
      <c r="S56" s="1"/>
      <c r="T56" s="1"/>
      <c r="U56" s="1"/>
      <c r="V56" s="1"/>
      <c r="W56" s="1"/>
      <c r="X56" s="1"/>
    </row>
    <row r="57" ht="18.75" customHeight="1">
      <c r="A57" s="120"/>
      <c r="B57" s="121"/>
      <c r="C57" s="122"/>
      <c r="D57" s="1"/>
      <c r="E57" s="127"/>
      <c r="F57" s="122"/>
      <c r="G57" s="1"/>
      <c r="H57" s="1"/>
      <c r="I57" s="1"/>
      <c r="J57" s="1"/>
      <c r="K57" s="1"/>
      <c r="L57" s="1"/>
      <c r="M57" s="1"/>
      <c r="N57" s="1"/>
      <c r="O57" s="1"/>
      <c r="P57" s="1"/>
      <c r="Q57" s="1"/>
      <c r="R57" s="1"/>
      <c r="S57" s="1"/>
      <c r="T57" s="1"/>
      <c r="U57" s="1"/>
      <c r="V57" s="1"/>
      <c r="W57" s="1"/>
      <c r="X57" s="1"/>
    </row>
    <row r="58" ht="18.75" customHeight="1">
      <c r="A58" s="120"/>
      <c r="B58" s="121"/>
      <c r="C58" s="122"/>
      <c r="D58" s="1"/>
      <c r="E58" s="127"/>
      <c r="F58" s="122"/>
      <c r="G58" s="1"/>
      <c r="H58" s="1"/>
      <c r="I58" s="1"/>
      <c r="J58" s="1"/>
      <c r="K58" s="1"/>
      <c r="L58" s="1"/>
      <c r="M58" s="1"/>
      <c r="N58" s="1"/>
      <c r="O58" s="1"/>
      <c r="P58" s="1"/>
      <c r="Q58" s="1"/>
      <c r="R58" s="1"/>
      <c r="S58" s="1"/>
      <c r="T58" s="1"/>
      <c r="U58" s="1"/>
      <c r="V58" s="1"/>
      <c r="W58" s="1"/>
      <c r="X58" s="1"/>
    </row>
    <row r="59" ht="18.75" customHeight="1">
      <c r="A59" s="120"/>
      <c r="B59" s="121"/>
      <c r="C59" s="122"/>
      <c r="D59" s="1"/>
      <c r="E59" s="127"/>
      <c r="F59" s="122"/>
      <c r="G59" s="1"/>
      <c r="H59" s="1"/>
      <c r="I59" s="1"/>
      <c r="J59" s="1"/>
      <c r="K59" s="1"/>
      <c r="L59" s="1"/>
      <c r="M59" s="1"/>
      <c r="N59" s="1"/>
      <c r="O59" s="1"/>
      <c r="P59" s="1"/>
      <c r="Q59" s="1"/>
      <c r="R59" s="1"/>
      <c r="S59" s="1"/>
      <c r="T59" s="1"/>
      <c r="U59" s="1"/>
      <c r="V59" s="1"/>
      <c r="W59" s="1"/>
      <c r="X59" s="1"/>
    </row>
    <row r="60" ht="18.75" customHeight="1">
      <c r="A60" s="120"/>
      <c r="B60" s="121"/>
      <c r="C60" s="122"/>
      <c r="D60" s="1"/>
      <c r="E60" s="127"/>
      <c r="F60" s="122"/>
      <c r="G60" s="1"/>
      <c r="H60" s="1"/>
      <c r="I60" s="1"/>
      <c r="J60" s="1"/>
      <c r="K60" s="1"/>
      <c r="L60" s="1"/>
      <c r="M60" s="1"/>
      <c r="N60" s="1"/>
      <c r="O60" s="1"/>
      <c r="P60" s="1"/>
      <c r="Q60" s="1"/>
      <c r="R60" s="1"/>
      <c r="S60" s="1"/>
      <c r="T60" s="1"/>
      <c r="U60" s="1"/>
      <c r="V60" s="1"/>
      <c r="W60" s="1"/>
      <c r="X60" s="1"/>
    </row>
    <row r="61" ht="18.75" customHeight="1">
      <c r="A61" s="120"/>
      <c r="B61" s="121"/>
      <c r="C61" s="122"/>
      <c r="D61" s="1"/>
      <c r="E61" s="127"/>
      <c r="F61" s="122"/>
      <c r="G61" s="1"/>
      <c r="H61" s="1"/>
      <c r="I61" s="1"/>
      <c r="J61" s="1"/>
      <c r="K61" s="1"/>
      <c r="L61" s="1"/>
      <c r="M61" s="1"/>
      <c r="N61" s="1"/>
      <c r="O61" s="1"/>
      <c r="P61" s="1"/>
      <c r="Q61" s="1"/>
      <c r="R61" s="1"/>
      <c r="S61" s="1"/>
      <c r="T61" s="1"/>
      <c r="U61" s="1"/>
      <c r="V61" s="1"/>
      <c r="W61" s="1"/>
      <c r="X61" s="1"/>
    </row>
    <row r="62" ht="18.75" customHeight="1">
      <c r="A62" s="120"/>
      <c r="B62" s="121"/>
      <c r="C62" s="122"/>
      <c r="D62" s="1"/>
      <c r="E62" s="127"/>
      <c r="F62" s="122"/>
      <c r="G62" s="1"/>
      <c r="H62" s="1"/>
      <c r="I62" s="1"/>
      <c r="J62" s="1"/>
      <c r="K62" s="1"/>
      <c r="L62" s="1"/>
      <c r="M62" s="1"/>
      <c r="N62" s="1"/>
      <c r="O62" s="1"/>
      <c r="P62" s="1"/>
      <c r="Q62" s="1"/>
      <c r="R62" s="1"/>
      <c r="S62" s="1"/>
      <c r="T62" s="1"/>
      <c r="U62" s="1"/>
      <c r="V62" s="1"/>
      <c r="W62" s="1"/>
      <c r="X62" s="1"/>
    </row>
    <row r="63" ht="18.75" customHeight="1">
      <c r="A63" s="120"/>
      <c r="B63" s="121"/>
      <c r="C63" s="122"/>
      <c r="D63" s="1"/>
      <c r="E63" s="127"/>
      <c r="F63" s="122"/>
      <c r="G63" s="1"/>
      <c r="H63" s="1"/>
      <c r="I63" s="1"/>
      <c r="J63" s="1"/>
      <c r="K63" s="1"/>
      <c r="L63" s="1"/>
      <c r="M63" s="1"/>
      <c r="N63" s="1"/>
      <c r="O63" s="1"/>
      <c r="P63" s="1"/>
      <c r="Q63" s="1"/>
      <c r="R63" s="1"/>
      <c r="S63" s="1"/>
      <c r="T63" s="1"/>
      <c r="U63" s="1"/>
      <c r="V63" s="1"/>
      <c r="W63" s="1"/>
      <c r="X63" s="1"/>
    </row>
    <row r="64" ht="18.75" customHeight="1">
      <c r="A64" s="120"/>
      <c r="B64" s="121"/>
      <c r="C64" s="122"/>
      <c r="D64" s="1"/>
      <c r="E64" s="127"/>
      <c r="F64" s="122"/>
      <c r="G64" s="1"/>
      <c r="H64" s="1"/>
      <c r="I64" s="1"/>
      <c r="J64" s="1"/>
      <c r="K64" s="1"/>
      <c r="L64" s="1"/>
      <c r="M64" s="1"/>
      <c r="N64" s="1"/>
      <c r="O64" s="1"/>
      <c r="P64" s="1"/>
      <c r="Q64" s="1"/>
      <c r="R64" s="1"/>
      <c r="S64" s="1"/>
      <c r="T64" s="1"/>
      <c r="U64" s="1"/>
      <c r="V64" s="1"/>
      <c r="W64" s="1"/>
      <c r="X64" s="1"/>
    </row>
    <row r="65" ht="18.75" customHeight="1">
      <c r="A65" s="120"/>
      <c r="B65" s="121"/>
      <c r="C65" s="122"/>
      <c r="D65" s="1"/>
      <c r="E65" s="127"/>
      <c r="F65" s="122"/>
      <c r="G65" s="1"/>
      <c r="H65" s="1"/>
      <c r="I65" s="1"/>
      <c r="J65" s="1"/>
      <c r="K65" s="1"/>
      <c r="L65" s="1"/>
      <c r="M65" s="1"/>
      <c r="N65" s="1"/>
      <c r="O65" s="1"/>
      <c r="P65" s="1"/>
      <c r="Q65" s="1"/>
      <c r="R65" s="1"/>
      <c r="S65" s="1"/>
      <c r="T65" s="1"/>
      <c r="U65" s="1"/>
      <c r="V65" s="1"/>
      <c r="W65" s="1"/>
      <c r="X65" s="1"/>
    </row>
    <row r="66" ht="18.75" customHeight="1">
      <c r="A66" s="120"/>
      <c r="B66" s="121"/>
      <c r="C66" s="122"/>
      <c r="D66" s="1"/>
      <c r="E66" s="127"/>
      <c r="F66" s="122"/>
      <c r="G66" s="1"/>
      <c r="H66" s="1"/>
      <c r="I66" s="1"/>
      <c r="J66" s="1"/>
      <c r="K66" s="1"/>
      <c r="L66" s="1"/>
      <c r="M66" s="1"/>
      <c r="N66" s="1"/>
      <c r="O66" s="1"/>
      <c r="P66" s="1"/>
      <c r="Q66" s="1"/>
      <c r="R66" s="1"/>
      <c r="S66" s="1"/>
      <c r="T66" s="1"/>
      <c r="U66" s="1"/>
      <c r="V66" s="1"/>
      <c r="W66" s="1"/>
      <c r="X66" s="1"/>
    </row>
    <row r="67" ht="18.75" customHeight="1">
      <c r="A67" s="120"/>
      <c r="B67" s="121"/>
      <c r="C67" s="122"/>
      <c r="D67" s="1"/>
      <c r="E67" s="127"/>
      <c r="F67" s="122"/>
      <c r="G67" s="1"/>
      <c r="H67" s="1"/>
      <c r="I67" s="1"/>
      <c r="J67" s="1"/>
      <c r="K67" s="1"/>
      <c r="L67" s="1"/>
      <c r="M67" s="1"/>
      <c r="N67" s="1"/>
      <c r="O67" s="1"/>
      <c r="P67" s="1"/>
      <c r="Q67" s="1"/>
      <c r="R67" s="1"/>
      <c r="S67" s="1"/>
      <c r="T67" s="1"/>
      <c r="U67" s="1"/>
      <c r="V67" s="1"/>
      <c r="W67" s="1"/>
      <c r="X67" s="1"/>
    </row>
    <row r="68" ht="18.75" customHeight="1">
      <c r="A68" s="120"/>
      <c r="B68" s="121"/>
      <c r="C68" s="122"/>
      <c r="D68" s="1"/>
      <c r="E68" s="127"/>
      <c r="F68" s="122"/>
      <c r="G68" s="1"/>
      <c r="H68" s="1"/>
      <c r="I68" s="1"/>
      <c r="J68" s="1"/>
      <c r="K68" s="1"/>
      <c r="L68" s="1"/>
      <c r="M68" s="1"/>
      <c r="N68" s="1"/>
      <c r="O68" s="1"/>
      <c r="P68" s="1"/>
      <c r="Q68" s="1"/>
      <c r="R68" s="1"/>
      <c r="S68" s="1"/>
      <c r="T68" s="1"/>
      <c r="U68" s="1"/>
      <c r="V68" s="1"/>
      <c r="W68" s="1"/>
      <c r="X68" s="1"/>
    </row>
    <row r="69" ht="18.75" customHeight="1">
      <c r="A69" s="120"/>
      <c r="B69" s="121"/>
      <c r="C69" s="122"/>
      <c r="D69" s="1"/>
      <c r="E69" s="127"/>
      <c r="F69" s="122"/>
      <c r="G69" s="1"/>
      <c r="H69" s="1"/>
      <c r="I69" s="1"/>
      <c r="J69" s="1"/>
      <c r="K69" s="1"/>
      <c r="L69" s="1"/>
      <c r="M69" s="1"/>
      <c r="N69" s="1"/>
      <c r="O69" s="1"/>
      <c r="P69" s="1"/>
      <c r="Q69" s="1"/>
      <c r="R69" s="1"/>
      <c r="S69" s="1"/>
      <c r="T69" s="1"/>
      <c r="U69" s="1"/>
      <c r="V69" s="1"/>
      <c r="W69" s="1"/>
      <c r="X69" s="1"/>
    </row>
    <row r="70" ht="18.75" customHeight="1">
      <c r="A70" s="120"/>
      <c r="B70" s="121"/>
      <c r="C70" s="122"/>
      <c r="D70" s="1"/>
      <c r="E70" s="127"/>
      <c r="F70" s="122"/>
      <c r="G70" s="1"/>
      <c r="H70" s="1"/>
      <c r="I70" s="1"/>
      <c r="J70" s="1"/>
      <c r="K70" s="1"/>
      <c r="L70" s="1"/>
      <c r="M70" s="1"/>
      <c r="N70" s="1"/>
      <c r="O70" s="1"/>
      <c r="P70" s="1"/>
      <c r="Q70" s="1"/>
      <c r="R70" s="1"/>
      <c r="S70" s="1"/>
      <c r="T70" s="1"/>
      <c r="U70" s="1"/>
      <c r="V70" s="1"/>
      <c r="W70" s="1"/>
      <c r="X70" s="1"/>
    </row>
    <row r="71" ht="18.75" customHeight="1">
      <c r="A71" s="120"/>
      <c r="B71" s="121"/>
      <c r="C71" s="122"/>
      <c r="D71" s="1"/>
      <c r="E71" s="127"/>
      <c r="F71" s="122"/>
      <c r="G71" s="1"/>
      <c r="H71" s="1"/>
      <c r="I71" s="1"/>
      <c r="J71" s="1"/>
      <c r="K71" s="1"/>
      <c r="L71" s="1"/>
      <c r="M71" s="1"/>
      <c r="N71" s="1"/>
      <c r="O71" s="1"/>
      <c r="P71" s="1"/>
      <c r="Q71" s="1"/>
      <c r="R71" s="1"/>
      <c r="S71" s="1"/>
      <c r="T71" s="1"/>
      <c r="U71" s="1"/>
      <c r="V71" s="1"/>
      <c r="W71" s="1"/>
      <c r="X71" s="1"/>
    </row>
    <row r="72" ht="18.75" customHeight="1">
      <c r="A72" s="120"/>
      <c r="B72" s="121"/>
      <c r="C72" s="122"/>
      <c r="D72" s="1"/>
      <c r="E72" s="127"/>
      <c r="F72" s="122"/>
      <c r="G72" s="1"/>
      <c r="H72" s="1"/>
      <c r="I72" s="1"/>
      <c r="J72" s="1"/>
      <c r="K72" s="1"/>
      <c r="L72" s="1"/>
      <c r="M72" s="1"/>
      <c r="N72" s="1"/>
      <c r="O72" s="1"/>
      <c r="P72" s="1"/>
      <c r="Q72" s="1"/>
      <c r="R72" s="1"/>
      <c r="S72" s="1"/>
      <c r="T72" s="1"/>
      <c r="U72" s="1"/>
      <c r="V72" s="1"/>
      <c r="W72" s="1"/>
      <c r="X72" s="1"/>
    </row>
    <row r="73" ht="18.75" customHeight="1">
      <c r="A73" s="120"/>
      <c r="B73" s="121"/>
      <c r="C73" s="122"/>
      <c r="D73" s="1"/>
      <c r="E73" s="127"/>
      <c r="F73" s="122"/>
      <c r="G73" s="1"/>
      <c r="H73" s="1"/>
      <c r="I73" s="1"/>
      <c r="J73" s="1"/>
      <c r="K73" s="1"/>
      <c r="L73" s="1"/>
      <c r="M73" s="1"/>
      <c r="N73" s="1"/>
      <c r="O73" s="1"/>
      <c r="P73" s="1"/>
      <c r="Q73" s="1"/>
      <c r="R73" s="1"/>
      <c r="S73" s="1"/>
      <c r="T73" s="1"/>
      <c r="U73" s="1"/>
      <c r="V73" s="1"/>
      <c r="W73" s="1"/>
      <c r="X73" s="1"/>
    </row>
    <row r="74" ht="18.75" customHeight="1">
      <c r="A74" s="120"/>
      <c r="B74" s="128"/>
      <c r="C74" s="122"/>
      <c r="D74" s="1"/>
      <c r="E74" s="127"/>
      <c r="F74" s="122"/>
      <c r="G74" s="1"/>
      <c r="H74" s="1"/>
      <c r="I74" s="1"/>
      <c r="J74" s="1"/>
      <c r="K74" s="1"/>
      <c r="L74" s="1"/>
      <c r="M74" s="1"/>
      <c r="N74" s="1"/>
      <c r="O74" s="1"/>
      <c r="P74" s="1"/>
      <c r="Q74" s="1"/>
      <c r="R74" s="1"/>
      <c r="S74" s="1"/>
      <c r="T74" s="1"/>
      <c r="U74" s="1"/>
      <c r="V74" s="1"/>
      <c r="W74" s="1"/>
      <c r="X74" s="1"/>
    </row>
    <row r="75" ht="18.75" customHeight="1">
      <c r="A75" s="120"/>
      <c r="B75" s="128"/>
      <c r="C75" s="122"/>
      <c r="D75" s="1"/>
      <c r="E75" s="127"/>
      <c r="F75" s="122"/>
      <c r="G75" s="1"/>
      <c r="H75" s="1"/>
      <c r="I75" s="1"/>
      <c r="J75" s="1"/>
      <c r="K75" s="1"/>
      <c r="L75" s="1"/>
      <c r="M75" s="1"/>
      <c r="N75" s="1"/>
      <c r="O75" s="1"/>
      <c r="P75" s="1"/>
      <c r="Q75" s="1"/>
      <c r="R75" s="1"/>
      <c r="S75" s="1"/>
      <c r="T75" s="1"/>
      <c r="U75" s="1"/>
      <c r="V75" s="1"/>
      <c r="W75" s="1"/>
      <c r="X75" s="1"/>
    </row>
    <row r="76" ht="18.75" customHeight="1">
      <c r="A76" s="120"/>
      <c r="B76" s="128"/>
      <c r="C76" s="122"/>
      <c r="D76" s="1"/>
      <c r="E76" s="127"/>
      <c r="F76" s="122"/>
      <c r="G76" s="1"/>
      <c r="H76" s="1"/>
      <c r="I76" s="1"/>
      <c r="J76" s="1"/>
      <c r="K76" s="1"/>
      <c r="L76" s="1"/>
      <c r="M76" s="1"/>
      <c r="N76" s="1"/>
      <c r="O76" s="1"/>
      <c r="P76" s="1"/>
      <c r="Q76" s="1"/>
      <c r="R76" s="1"/>
      <c r="S76" s="1"/>
      <c r="T76" s="1"/>
      <c r="U76" s="1"/>
      <c r="V76" s="1"/>
      <c r="W76" s="1"/>
      <c r="X76" s="1"/>
    </row>
    <row r="77" ht="18.75" customHeight="1">
      <c r="A77" s="120"/>
      <c r="B77" s="128"/>
      <c r="C77" s="122"/>
      <c r="D77" s="1"/>
      <c r="E77" s="127"/>
      <c r="F77" s="122"/>
      <c r="G77" s="1"/>
      <c r="H77" s="1"/>
      <c r="I77" s="1"/>
      <c r="J77" s="1"/>
      <c r="K77" s="1"/>
      <c r="L77" s="1"/>
      <c r="M77" s="1"/>
      <c r="N77" s="1"/>
      <c r="O77" s="1"/>
      <c r="P77" s="1"/>
      <c r="Q77" s="1"/>
      <c r="R77" s="1"/>
      <c r="S77" s="1"/>
      <c r="T77" s="1"/>
      <c r="U77" s="1"/>
      <c r="V77" s="1"/>
      <c r="W77" s="1"/>
      <c r="X77" s="1"/>
    </row>
    <row r="78" ht="18.75" customHeight="1">
      <c r="A78" s="120"/>
      <c r="B78" s="128"/>
      <c r="C78" s="122"/>
      <c r="D78" s="1"/>
      <c r="E78" s="127"/>
      <c r="F78" s="122"/>
      <c r="G78" s="1"/>
      <c r="H78" s="1"/>
      <c r="I78" s="1"/>
      <c r="J78" s="1"/>
      <c r="K78" s="1"/>
      <c r="L78" s="1"/>
      <c r="M78" s="1"/>
      <c r="N78" s="1"/>
      <c r="O78" s="1"/>
      <c r="P78" s="1"/>
      <c r="Q78" s="1"/>
      <c r="R78" s="1"/>
      <c r="S78" s="1"/>
      <c r="T78" s="1"/>
      <c r="U78" s="1"/>
      <c r="V78" s="1"/>
      <c r="W78" s="1"/>
      <c r="X78" s="1"/>
    </row>
    <row r="79" ht="18.75" customHeight="1">
      <c r="A79" s="120"/>
      <c r="B79" s="128"/>
      <c r="C79" s="122"/>
      <c r="D79" s="1"/>
      <c r="E79" s="127"/>
      <c r="F79" s="122"/>
      <c r="G79" s="1"/>
      <c r="H79" s="1"/>
      <c r="I79" s="1"/>
      <c r="J79" s="1"/>
      <c r="K79" s="1"/>
      <c r="L79" s="1"/>
      <c r="M79" s="1"/>
      <c r="N79" s="1"/>
      <c r="O79" s="1"/>
      <c r="P79" s="1"/>
      <c r="Q79" s="1"/>
      <c r="R79" s="1"/>
      <c r="S79" s="1"/>
      <c r="T79" s="1"/>
      <c r="U79" s="1"/>
      <c r="V79" s="1"/>
      <c r="W79" s="1"/>
      <c r="X79" s="1"/>
    </row>
    <row r="80" ht="18.75" customHeight="1">
      <c r="A80" s="120"/>
      <c r="B80" s="128"/>
      <c r="C80" s="122"/>
      <c r="D80" s="1"/>
      <c r="E80" s="127"/>
      <c r="F80" s="122"/>
      <c r="G80" s="1"/>
      <c r="H80" s="1"/>
      <c r="I80" s="1"/>
      <c r="J80" s="1"/>
      <c r="K80" s="1"/>
      <c r="L80" s="1"/>
      <c r="M80" s="1"/>
      <c r="N80" s="1"/>
      <c r="O80" s="1"/>
      <c r="P80" s="1"/>
      <c r="Q80" s="1"/>
      <c r="R80" s="1"/>
      <c r="S80" s="1"/>
      <c r="T80" s="1"/>
      <c r="U80" s="1"/>
      <c r="V80" s="1"/>
      <c r="W80" s="1"/>
      <c r="X80" s="1"/>
    </row>
    <row r="81" ht="18.75" customHeight="1">
      <c r="A81" s="120"/>
      <c r="B81" s="128"/>
      <c r="C81" s="122"/>
      <c r="D81" s="1"/>
      <c r="E81" s="127"/>
      <c r="F81" s="122"/>
      <c r="G81" s="1"/>
      <c r="H81" s="1"/>
      <c r="I81" s="1"/>
      <c r="J81" s="1"/>
      <c r="K81" s="1"/>
      <c r="L81" s="1"/>
      <c r="M81" s="1"/>
      <c r="N81" s="1"/>
      <c r="O81" s="1"/>
      <c r="P81" s="1"/>
      <c r="Q81" s="1"/>
      <c r="R81" s="1"/>
      <c r="S81" s="1"/>
      <c r="T81" s="1"/>
      <c r="U81" s="1"/>
      <c r="V81" s="1"/>
      <c r="W81" s="1"/>
      <c r="X81" s="1"/>
    </row>
    <row r="82" ht="18.75" customHeight="1">
      <c r="A82" s="120"/>
      <c r="B82" s="128"/>
      <c r="C82" s="122"/>
      <c r="D82" s="1"/>
      <c r="E82" s="127"/>
      <c r="F82" s="122"/>
      <c r="G82" s="1"/>
      <c r="H82" s="1"/>
      <c r="I82" s="1"/>
      <c r="J82" s="1"/>
      <c r="K82" s="1"/>
      <c r="L82" s="1"/>
      <c r="M82" s="1"/>
      <c r="N82" s="1"/>
      <c r="O82" s="1"/>
      <c r="P82" s="1"/>
      <c r="Q82" s="1"/>
      <c r="R82" s="1"/>
      <c r="S82" s="1"/>
      <c r="T82" s="1"/>
      <c r="U82" s="1"/>
      <c r="V82" s="1"/>
      <c r="W82" s="1"/>
      <c r="X82" s="1"/>
    </row>
    <row r="83" ht="18.75" customHeight="1">
      <c r="A83" s="120"/>
      <c r="B83" s="128"/>
      <c r="C83" s="122"/>
      <c r="D83" s="1"/>
      <c r="E83" s="127"/>
      <c r="F83" s="122"/>
      <c r="G83" s="1"/>
      <c r="H83" s="1"/>
      <c r="I83" s="1"/>
      <c r="J83" s="1"/>
      <c r="K83" s="1"/>
      <c r="L83" s="1"/>
      <c r="M83" s="1"/>
      <c r="N83" s="1"/>
      <c r="O83" s="1"/>
      <c r="P83" s="1"/>
      <c r="Q83" s="1"/>
      <c r="R83" s="1"/>
      <c r="S83" s="1"/>
      <c r="T83" s="1"/>
      <c r="U83" s="1"/>
      <c r="V83" s="1"/>
      <c r="W83" s="1"/>
      <c r="X83" s="1"/>
    </row>
    <row r="84" ht="18.75" customHeight="1">
      <c r="A84" s="120"/>
      <c r="B84" s="128"/>
      <c r="C84" s="122"/>
      <c r="D84" s="1"/>
      <c r="E84" s="127"/>
      <c r="F84" s="122"/>
      <c r="G84" s="1"/>
      <c r="H84" s="1"/>
      <c r="I84" s="1"/>
      <c r="J84" s="1"/>
      <c r="K84" s="1"/>
      <c r="L84" s="1"/>
      <c r="M84" s="1"/>
      <c r="N84" s="1"/>
      <c r="O84" s="1"/>
      <c r="P84" s="1"/>
      <c r="Q84" s="1"/>
      <c r="R84" s="1"/>
      <c r="S84" s="1"/>
      <c r="T84" s="1"/>
      <c r="U84" s="1"/>
      <c r="V84" s="1"/>
      <c r="W84" s="1"/>
      <c r="X84" s="1"/>
    </row>
    <row r="85" ht="18.75" customHeight="1">
      <c r="A85" s="120"/>
      <c r="B85" s="128"/>
      <c r="C85" s="122"/>
      <c r="D85" s="1"/>
      <c r="E85" s="127"/>
      <c r="F85" s="122"/>
      <c r="G85" s="1"/>
      <c r="H85" s="1"/>
      <c r="I85" s="1"/>
      <c r="J85" s="1"/>
      <c r="K85" s="1"/>
      <c r="L85" s="1"/>
      <c r="M85" s="1"/>
      <c r="N85" s="1"/>
      <c r="O85" s="1"/>
      <c r="P85" s="1"/>
      <c r="Q85" s="1"/>
      <c r="R85" s="1"/>
      <c r="S85" s="1"/>
      <c r="T85" s="1"/>
      <c r="U85" s="1"/>
      <c r="V85" s="1"/>
      <c r="W85" s="1"/>
      <c r="X85" s="1"/>
    </row>
    <row r="86" ht="18.75" customHeight="1">
      <c r="A86" s="120"/>
      <c r="B86" s="128"/>
      <c r="C86" s="122"/>
      <c r="D86" s="1"/>
      <c r="E86" s="127"/>
      <c r="F86" s="122"/>
      <c r="G86" s="1"/>
      <c r="H86" s="1"/>
      <c r="I86" s="1"/>
      <c r="J86" s="1"/>
      <c r="K86" s="1"/>
      <c r="L86" s="1"/>
      <c r="M86" s="1"/>
      <c r="N86" s="1"/>
      <c r="O86" s="1"/>
      <c r="P86" s="1"/>
      <c r="Q86" s="1"/>
      <c r="R86" s="1"/>
      <c r="S86" s="1"/>
      <c r="T86" s="1"/>
      <c r="U86" s="1"/>
      <c r="V86" s="1"/>
      <c r="W86" s="1"/>
      <c r="X86" s="1"/>
    </row>
    <row r="87" ht="18.75" customHeight="1">
      <c r="A87" s="120"/>
      <c r="B87" s="128"/>
      <c r="C87" s="122"/>
      <c r="D87" s="1"/>
      <c r="E87" s="127"/>
      <c r="F87" s="122"/>
      <c r="G87" s="1"/>
      <c r="H87" s="1"/>
      <c r="I87" s="1"/>
      <c r="J87" s="1"/>
      <c r="K87" s="1"/>
      <c r="L87" s="1"/>
      <c r="M87" s="1"/>
      <c r="N87" s="1"/>
      <c r="O87" s="1"/>
      <c r="P87" s="1"/>
      <c r="Q87" s="1"/>
      <c r="R87" s="1"/>
      <c r="S87" s="1"/>
      <c r="T87" s="1"/>
      <c r="U87" s="1"/>
      <c r="V87" s="1"/>
      <c r="W87" s="1"/>
      <c r="X87" s="1"/>
    </row>
    <row r="88" ht="18.75" customHeight="1">
      <c r="A88" s="120"/>
      <c r="B88" s="128"/>
      <c r="C88" s="122"/>
      <c r="D88" s="1"/>
      <c r="E88" s="127"/>
      <c r="F88" s="122"/>
      <c r="G88" s="1"/>
      <c r="H88" s="1"/>
      <c r="I88" s="1"/>
      <c r="J88" s="1"/>
      <c r="K88" s="1"/>
      <c r="L88" s="1"/>
      <c r="M88" s="1"/>
      <c r="N88" s="1"/>
      <c r="O88" s="1"/>
      <c r="P88" s="1"/>
      <c r="Q88" s="1"/>
      <c r="R88" s="1"/>
      <c r="S88" s="1"/>
      <c r="T88" s="1"/>
      <c r="U88" s="1"/>
      <c r="V88" s="1"/>
      <c r="W88" s="1"/>
      <c r="X88" s="1"/>
    </row>
    <row r="89" ht="18.75" customHeight="1">
      <c r="A89" s="120"/>
      <c r="B89" s="128"/>
      <c r="C89" s="122"/>
      <c r="D89" s="1"/>
      <c r="E89" s="127"/>
      <c r="F89" s="122"/>
      <c r="G89" s="1"/>
      <c r="H89" s="1"/>
      <c r="I89" s="1"/>
      <c r="J89" s="1"/>
      <c r="K89" s="1"/>
      <c r="L89" s="1"/>
      <c r="M89" s="1"/>
      <c r="N89" s="1"/>
      <c r="O89" s="1"/>
      <c r="P89" s="1"/>
      <c r="Q89" s="1"/>
      <c r="R89" s="1"/>
      <c r="S89" s="1"/>
      <c r="T89" s="1"/>
      <c r="U89" s="1"/>
      <c r="V89" s="1"/>
      <c r="W89" s="1"/>
      <c r="X89" s="1"/>
    </row>
    <row r="90" ht="18.75" customHeight="1">
      <c r="A90" s="120"/>
      <c r="B90" s="128"/>
      <c r="C90" s="122"/>
      <c r="D90" s="1"/>
      <c r="E90" s="127"/>
      <c r="F90" s="122"/>
      <c r="G90" s="1"/>
      <c r="H90" s="1"/>
      <c r="I90" s="1"/>
      <c r="J90" s="1"/>
      <c r="K90" s="1"/>
      <c r="L90" s="1"/>
      <c r="M90" s="1"/>
      <c r="N90" s="1"/>
      <c r="O90" s="1"/>
      <c r="P90" s="1"/>
      <c r="Q90" s="1"/>
      <c r="R90" s="1"/>
      <c r="S90" s="1"/>
      <c r="T90" s="1"/>
      <c r="U90" s="1"/>
      <c r="V90" s="1"/>
      <c r="W90" s="1"/>
      <c r="X90" s="1"/>
    </row>
    <row r="91" ht="18.75" customHeight="1">
      <c r="A91" s="120"/>
      <c r="B91" s="128"/>
      <c r="C91" s="122"/>
      <c r="D91" s="1"/>
      <c r="E91" s="127"/>
      <c r="F91" s="122"/>
      <c r="G91" s="1"/>
      <c r="H91" s="1"/>
      <c r="I91" s="1"/>
      <c r="J91" s="1"/>
      <c r="K91" s="1"/>
      <c r="L91" s="1"/>
      <c r="M91" s="1"/>
      <c r="N91" s="1"/>
      <c r="O91" s="1"/>
      <c r="P91" s="1"/>
      <c r="Q91" s="1"/>
      <c r="R91" s="1"/>
      <c r="S91" s="1"/>
      <c r="T91" s="1"/>
      <c r="U91" s="1"/>
      <c r="V91" s="1"/>
      <c r="W91" s="1"/>
      <c r="X91" s="1"/>
    </row>
    <row r="92" ht="18.75" customHeight="1">
      <c r="A92" s="120"/>
      <c r="B92" s="128"/>
      <c r="C92" s="122"/>
      <c r="D92" s="1"/>
      <c r="E92" s="127"/>
      <c r="F92" s="122"/>
      <c r="G92" s="1"/>
      <c r="H92" s="1"/>
      <c r="I92" s="1"/>
      <c r="J92" s="1"/>
      <c r="K92" s="1"/>
      <c r="L92" s="1"/>
      <c r="M92" s="1"/>
      <c r="N92" s="1"/>
      <c r="O92" s="1"/>
      <c r="P92" s="1"/>
      <c r="Q92" s="1"/>
      <c r="R92" s="1"/>
      <c r="S92" s="1"/>
      <c r="T92" s="1"/>
      <c r="U92" s="1"/>
      <c r="V92" s="1"/>
      <c r="W92" s="1"/>
      <c r="X92" s="1"/>
    </row>
    <row r="93" ht="18.75" customHeight="1">
      <c r="A93" s="120"/>
      <c r="B93" s="128"/>
      <c r="C93" s="122"/>
      <c r="D93" s="1"/>
      <c r="E93" s="127"/>
      <c r="F93" s="122"/>
      <c r="G93" s="1"/>
      <c r="H93" s="1"/>
      <c r="I93" s="1"/>
      <c r="J93" s="1"/>
      <c r="K93" s="1"/>
      <c r="L93" s="1"/>
      <c r="M93" s="1"/>
      <c r="N93" s="1"/>
      <c r="O93" s="1"/>
      <c r="P93" s="1"/>
      <c r="Q93" s="1"/>
      <c r="R93" s="1"/>
      <c r="S93" s="1"/>
      <c r="T93" s="1"/>
      <c r="U93" s="1"/>
      <c r="V93" s="1"/>
      <c r="W93" s="1"/>
      <c r="X93" s="1"/>
    </row>
    <row r="94" ht="18.75" customHeight="1">
      <c r="A94" s="120"/>
      <c r="B94" s="128"/>
      <c r="C94" s="122"/>
      <c r="D94" s="1"/>
      <c r="E94" s="127"/>
      <c r="F94" s="122"/>
      <c r="G94" s="1"/>
      <c r="H94" s="1"/>
      <c r="I94" s="1"/>
      <c r="J94" s="1"/>
      <c r="K94" s="1"/>
      <c r="L94" s="1"/>
      <c r="M94" s="1"/>
      <c r="N94" s="1"/>
      <c r="O94" s="1"/>
      <c r="P94" s="1"/>
      <c r="Q94" s="1"/>
      <c r="R94" s="1"/>
      <c r="S94" s="1"/>
      <c r="T94" s="1"/>
      <c r="U94" s="1"/>
      <c r="V94" s="1"/>
      <c r="W94" s="1"/>
      <c r="X94" s="1"/>
    </row>
    <row r="95" ht="18.75" customHeight="1">
      <c r="A95" s="120"/>
      <c r="B95" s="128"/>
      <c r="C95" s="122"/>
      <c r="D95" s="1"/>
      <c r="E95" s="127"/>
      <c r="F95" s="122"/>
      <c r="G95" s="1"/>
      <c r="H95" s="1"/>
      <c r="I95" s="1"/>
      <c r="J95" s="1"/>
      <c r="K95" s="1"/>
      <c r="L95" s="1"/>
      <c r="M95" s="1"/>
      <c r="N95" s="1"/>
      <c r="O95" s="1"/>
      <c r="P95" s="1"/>
      <c r="Q95" s="1"/>
      <c r="R95" s="1"/>
      <c r="S95" s="1"/>
      <c r="T95" s="1"/>
      <c r="U95" s="1"/>
      <c r="V95" s="1"/>
      <c r="W95" s="1"/>
      <c r="X95" s="1"/>
    </row>
    <row r="96" ht="18.75" customHeight="1">
      <c r="A96" s="120"/>
      <c r="B96" s="128"/>
      <c r="C96" s="122"/>
      <c r="D96" s="1"/>
      <c r="E96" s="127"/>
      <c r="F96" s="122"/>
      <c r="G96" s="1"/>
      <c r="H96" s="1"/>
      <c r="I96" s="1"/>
      <c r="J96" s="1"/>
      <c r="K96" s="1"/>
      <c r="L96" s="1"/>
      <c r="M96" s="1"/>
      <c r="N96" s="1"/>
      <c r="O96" s="1"/>
      <c r="P96" s="1"/>
      <c r="Q96" s="1"/>
      <c r="R96" s="1"/>
      <c r="S96" s="1"/>
      <c r="T96" s="1"/>
      <c r="U96" s="1"/>
      <c r="V96" s="1"/>
      <c r="W96" s="1"/>
      <c r="X96" s="1"/>
    </row>
    <row r="97" ht="18.75" customHeight="1">
      <c r="A97" s="120"/>
      <c r="B97" s="128"/>
      <c r="C97" s="122"/>
      <c r="D97" s="1"/>
      <c r="E97" s="127"/>
      <c r="F97" s="122"/>
      <c r="G97" s="1"/>
      <c r="H97" s="1"/>
      <c r="I97" s="1"/>
      <c r="J97" s="1"/>
      <c r="K97" s="1"/>
      <c r="L97" s="1"/>
      <c r="M97" s="1"/>
      <c r="N97" s="1"/>
      <c r="O97" s="1"/>
      <c r="P97" s="1"/>
      <c r="Q97" s="1"/>
      <c r="R97" s="1"/>
      <c r="S97" s="1"/>
      <c r="T97" s="1"/>
      <c r="U97" s="1"/>
      <c r="V97" s="1"/>
      <c r="W97" s="1"/>
      <c r="X97" s="1"/>
    </row>
    <row r="98" ht="18.75" customHeight="1">
      <c r="A98" s="120"/>
      <c r="B98" s="128"/>
      <c r="C98" s="122"/>
      <c r="D98" s="1"/>
      <c r="E98" s="127"/>
      <c r="F98" s="122"/>
      <c r="G98" s="1"/>
      <c r="H98" s="1"/>
      <c r="I98" s="1"/>
      <c r="J98" s="1"/>
      <c r="K98" s="1"/>
      <c r="L98" s="1"/>
      <c r="M98" s="1"/>
      <c r="N98" s="1"/>
      <c r="O98" s="1"/>
      <c r="P98" s="1"/>
      <c r="Q98" s="1"/>
      <c r="R98" s="1"/>
      <c r="S98" s="1"/>
      <c r="T98" s="1"/>
      <c r="U98" s="1"/>
      <c r="V98" s="1"/>
      <c r="W98" s="1"/>
      <c r="X98" s="1"/>
    </row>
    <row r="99" ht="18.75" customHeight="1">
      <c r="A99" s="120"/>
      <c r="B99" s="128"/>
      <c r="C99" s="122"/>
      <c r="D99" s="1"/>
      <c r="E99" s="127"/>
      <c r="F99" s="122"/>
      <c r="G99" s="1"/>
      <c r="H99" s="1"/>
      <c r="I99" s="1"/>
      <c r="J99" s="1"/>
      <c r="K99" s="1"/>
      <c r="L99" s="1"/>
      <c r="M99" s="1"/>
      <c r="N99" s="1"/>
      <c r="O99" s="1"/>
      <c r="P99" s="1"/>
      <c r="Q99" s="1"/>
      <c r="R99" s="1"/>
      <c r="S99" s="1"/>
      <c r="T99" s="1"/>
      <c r="U99" s="1"/>
      <c r="V99" s="1"/>
      <c r="W99" s="1"/>
      <c r="X99" s="1"/>
    </row>
    <row r="100" ht="18.75" customHeight="1">
      <c r="A100" s="129"/>
      <c r="B100" s="130"/>
      <c r="C100" s="131"/>
      <c r="D100" s="1"/>
      <c r="E100" s="132"/>
      <c r="F100" s="131"/>
      <c r="G100" s="1"/>
      <c r="H100" s="1"/>
      <c r="I100" s="1"/>
      <c r="J100" s="1"/>
      <c r="K100" s="1"/>
      <c r="L100" s="1"/>
      <c r="M100" s="1"/>
      <c r="N100" s="1"/>
      <c r="O100" s="1"/>
      <c r="P100" s="1"/>
      <c r="Q100" s="1"/>
      <c r="R100" s="1"/>
      <c r="S100" s="1"/>
      <c r="T100" s="1"/>
      <c r="U100" s="1"/>
      <c r="V100" s="1"/>
      <c r="W100" s="1"/>
      <c r="X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5.75" customHeight="1">
      <c r="D241" s="133"/>
    </row>
    <row r="242" ht="15.75" customHeight="1">
      <c r="D242" s="133"/>
    </row>
    <row r="243" ht="15.75" customHeight="1">
      <c r="D243" s="133"/>
    </row>
    <row r="244" ht="15.75" customHeight="1">
      <c r="D244" s="133"/>
    </row>
    <row r="245" ht="15.75" customHeight="1">
      <c r="D245" s="133"/>
    </row>
    <row r="246" ht="15.75" customHeight="1">
      <c r="D246" s="133"/>
    </row>
    <row r="247" ht="15.75" customHeight="1">
      <c r="D247" s="133"/>
    </row>
    <row r="248" ht="15.75" customHeight="1">
      <c r="D248" s="133"/>
    </row>
    <row r="249" ht="15.75" customHeight="1">
      <c r="D249" s="133"/>
    </row>
    <row r="250" ht="15.75" customHeight="1">
      <c r="D250" s="133"/>
    </row>
    <row r="251" ht="15.75" customHeight="1">
      <c r="D251" s="133"/>
    </row>
    <row r="252" ht="15.75" customHeight="1">
      <c r="D252" s="133"/>
    </row>
    <row r="253" ht="15.75" customHeight="1">
      <c r="D253" s="133"/>
    </row>
    <row r="254" ht="15.75" customHeight="1">
      <c r="D254" s="133"/>
    </row>
    <row r="255" ht="15.75" customHeight="1">
      <c r="D255" s="133"/>
    </row>
    <row r="256" ht="15.75" customHeight="1">
      <c r="D256" s="133"/>
    </row>
    <row r="257" ht="15.75" customHeight="1">
      <c r="D257" s="133"/>
    </row>
    <row r="258" ht="15.75" customHeight="1">
      <c r="D258" s="133"/>
    </row>
    <row r="259" ht="15.75" customHeight="1">
      <c r="D259" s="133"/>
    </row>
    <row r="260" ht="15.75" customHeight="1">
      <c r="D260" s="133"/>
    </row>
    <row r="261" ht="15.75" customHeight="1">
      <c r="D261" s="133"/>
    </row>
    <row r="262" ht="15.75" customHeight="1">
      <c r="D262" s="133"/>
    </row>
    <row r="263" ht="15.75" customHeight="1">
      <c r="D263" s="133"/>
    </row>
    <row r="264" ht="15.75" customHeight="1">
      <c r="D264" s="133"/>
    </row>
    <row r="265" ht="15.75" customHeight="1">
      <c r="D265" s="133"/>
    </row>
    <row r="266" ht="15.75" customHeight="1">
      <c r="D266" s="133"/>
    </row>
    <row r="267" ht="15.75" customHeight="1">
      <c r="D267" s="133"/>
    </row>
    <row r="268" ht="15.75" customHeight="1">
      <c r="D268" s="133"/>
    </row>
    <row r="269" ht="15.75" customHeight="1">
      <c r="D269" s="133"/>
    </row>
    <row r="270" ht="15.75" customHeight="1">
      <c r="D270" s="133"/>
    </row>
    <row r="271" ht="15.75" customHeight="1">
      <c r="D271" s="133"/>
    </row>
    <row r="272" ht="15.75" customHeight="1">
      <c r="D272" s="133"/>
    </row>
    <row r="273" ht="15.75" customHeight="1">
      <c r="D273" s="133"/>
    </row>
    <row r="274" ht="15.75" customHeight="1">
      <c r="D274" s="133"/>
    </row>
    <row r="275" ht="15.75" customHeight="1">
      <c r="D275" s="133"/>
    </row>
    <row r="276" ht="15.75" customHeight="1">
      <c r="D276" s="133"/>
    </row>
    <row r="277" ht="15.75" customHeight="1">
      <c r="D277" s="133"/>
    </row>
    <row r="278" ht="15.75" customHeight="1">
      <c r="D278" s="133"/>
    </row>
    <row r="279" ht="15.75" customHeight="1">
      <c r="D279" s="133"/>
    </row>
    <row r="280" ht="15.75" customHeight="1">
      <c r="D280" s="133"/>
    </row>
    <row r="281" ht="15.75" customHeight="1">
      <c r="D281" s="133"/>
    </row>
    <row r="282" ht="15.75" customHeight="1">
      <c r="D282" s="133"/>
    </row>
    <row r="283" ht="15.75" customHeight="1">
      <c r="D283" s="133"/>
    </row>
    <row r="284" ht="15.75" customHeight="1">
      <c r="D284" s="133"/>
    </row>
    <row r="285" ht="15.75" customHeight="1">
      <c r="D285" s="133"/>
    </row>
    <row r="286" ht="15.75" customHeight="1">
      <c r="D286" s="133"/>
    </row>
    <row r="287" ht="15.75" customHeight="1">
      <c r="D287" s="133"/>
    </row>
    <row r="288" ht="15.75" customHeight="1">
      <c r="D288" s="133"/>
    </row>
    <row r="289" ht="15.75" customHeight="1">
      <c r="D289" s="133"/>
    </row>
    <row r="290" ht="15.75" customHeight="1">
      <c r="D290" s="133"/>
    </row>
    <row r="291" ht="15.75" customHeight="1">
      <c r="D291" s="133"/>
    </row>
    <row r="292" ht="15.75" customHeight="1">
      <c r="D292" s="133"/>
    </row>
    <row r="293" ht="15.75" customHeight="1">
      <c r="D293" s="133"/>
    </row>
    <row r="294" ht="15.75" customHeight="1">
      <c r="D294" s="133"/>
    </row>
    <row r="295" ht="15.75" customHeight="1">
      <c r="D295" s="133"/>
    </row>
    <row r="296" ht="15.75" customHeight="1">
      <c r="D296" s="133"/>
    </row>
    <row r="297" ht="15.75" customHeight="1">
      <c r="D297" s="133"/>
    </row>
    <row r="298" ht="15.75" customHeight="1">
      <c r="D298" s="133"/>
    </row>
    <row r="299" ht="15.75" customHeight="1">
      <c r="D299" s="133"/>
    </row>
    <row r="300" ht="15.75" customHeight="1">
      <c r="D300" s="133"/>
    </row>
    <row r="301" ht="15.75" customHeight="1">
      <c r="D301" s="133"/>
    </row>
    <row r="302" ht="15.75" customHeight="1">
      <c r="D302" s="133"/>
    </row>
    <row r="303" ht="15.75" customHeight="1">
      <c r="D303" s="133"/>
    </row>
    <row r="304" ht="15.75" customHeight="1">
      <c r="D304" s="133"/>
    </row>
    <row r="305" ht="15.75" customHeight="1">
      <c r="D305" s="133"/>
    </row>
    <row r="306" ht="15.75" customHeight="1">
      <c r="D306" s="133"/>
    </row>
    <row r="307" ht="15.75" customHeight="1">
      <c r="D307" s="133"/>
    </row>
    <row r="308" ht="15.75" customHeight="1">
      <c r="D308" s="133"/>
    </row>
    <row r="309" ht="15.75" customHeight="1">
      <c r="D309" s="133"/>
    </row>
    <row r="310" ht="15.75" customHeight="1">
      <c r="D310" s="133"/>
    </row>
    <row r="311" ht="15.75" customHeight="1">
      <c r="D311" s="133"/>
    </row>
    <row r="312" ht="15.75" customHeight="1">
      <c r="D312" s="133"/>
    </row>
    <row r="313" ht="15.75" customHeight="1">
      <c r="D313" s="133"/>
    </row>
    <row r="314" ht="15.75" customHeight="1">
      <c r="D314" s="133"/>
    </row>
    <row r="315" ht="15.75" customHeight="1">
      <c r="D315" s="133"/>
    </row>
    <row r="316" ht="15.75" customHeight="1">
      <c r="D316" s="133"/>
    </row>
    <row r="317" ht="15.75" customHeight="1">
      <c r="D317" s="133"/>
    </row>
    <row r="318" ht="15.75" customHeight="1">
      <c r="D318" s="133"/>
    </row>
    <row r="319" ht="15.75" customHeight="1">
      <c r="D319" s="133"/>
    </row>
    <row r="320" ht="15.75" customHeight="1">
      <c r="D320" s="133"/>
    </row>
    <row r="321" ht="15.75" customHeight="1">
      <c r="D321" s="133"/>
    </row>
    <row r="322" ht="15.75" customHeight="1">
      <c r="D322" s="133"/>
    </row>
    <row r="323" ht="15.75" customHeight="1">
      <c r="D323" s="133"/>
    </row>
    <row r="324" ht="15.75" customHeight="1">
      <c r="D324" s="133"/>
    </row>
    <row r="325" ht="15.75" customHeight="1">
      <c r="D325" s="133"/>
    </row>
    <row r="326" ht="15.75" customHeight="1">
      <c r="D326" s="133"/>
    </row>
    <row r="327" ht="15.75" customHeight="1">
      <c r="D327" s="133"/>
    </row>
    <row r="328" ht="15.75" customHeight="1">
      <c r="D328" s="133"/>
    </row>
    <row r="329" ht="15.75" customHeight="1">
      <c r="D329" s="133"/>
    </row>
    <row r="330" ht="15.75" customHeight="1">
      <c r="D330" s="133"/>
    </row>
    <row r="331" ht="15.75" customHeight="1">
      <c r="D331" s="133"/>
    </row>
    <row r="332" ht="15.75" customHeight="1">
      <c r="D332" s="133"/>
    </row>
    <row r="333" ht="15.75" customHeight="1">
      <c r="D333" s="133"/>
    </row>
    <row r="334" ht="15.75" customHeight="1">
      <c r="D334" s="133"/>
    </row>
    <row r="335" ht="15.75" customHeight="1">
      <c r="D335" s="133"/>
    </row>
    <row r="336" ht="15.75" customHeight="1">
      <c r="D336" s="133"/>
    </row>
    <row r="337" ht="15.75" customHeight="1">
      <c r="D337" s="133"/>
    </row>
    <row r="338" ht="15.75" customHeight="1">
      <c r="D338" s="133"/>
    </row>
    <row r="339" ht="15.75" customHeight="1">
      <c r="D339" s="133"/>
    </row>
    <row r="340" ht="15.75" customHeight="1">
      <c r="D340" s="133"/>
    </row>
    <row r="341" ht="15.75" customHeight="1">
      <c r="D341" s="133"/>
    </row>
    <row r="342" ht="15.75" customHeight="1">
      <c r="D342" s="133"/>
    </row>
    <row r="343" ht="15.75" customHeight="1">
      <c r="D343" s="133"/>
    </row>
    <row r="344" ht="15.75" customHeight="1">
      <c r="D344" s="133"/>
    </row>
    <row r="345" ht="15.75" customHeight="1">
      <c r="D345" s="133"/>
    </row>
    <row r="346" ht="15.75" customHeight="1">
      <c r="D346" s="133"/>
    </row>
    <row r="347" ht="15.75" customHeight="1">
      <c r="D347" s="133"/>
    </row>
    <row r="348" ht="15.75" customHeight="1">
      <c r="D348" s="133"/>
    </row>
    <row r="349" ht="15.75" customHeight="1">
      <c r="D349" s="133"/>
    </row>
    <row r="350" ht="15.75" customHeight="1">
      <c r="D350" s="133"/>
    </row>
    <row r="351" ht="15.75" customHeight="1">
      <c r="D351" s="133"/>
    </row>
    <row r="352" ht="15.75" customHeight="1">
      <c r="D352" s="133"/>
    </row>
    <row r="353" ht="15.75" customHeight="1">
      <c r="D353" s="133"/>
    </row>
    <row r="354" ht="15.75" customHeight="1">
      <c r="D354" s="133"/>
    </row>
    <row r="355" ht="15.75" customHeight="1">
      <c r="D355" s="133"/>
    </row>
    <row r="356" ht="15.75" customHeight="1">
      <c r="D356" s="133"/>
    </row>
    <row r="357" ht="15.75" customHeight="1">
      <c r="D357" s="133"/>
    </row>
    <row r="358" ht="15.75" customHeight="1">
      <c r="D358" s="133"/>
    </row>
    <row r="359" ht="15.75" customHeight="1">
      <c r="D359" s="133"/>
    </row>
    <row r="360" ht="15.75" customHeight="1">
      <c r="D360" s="133"/>
    </row>
    <row r="361" ht="15.75" customHeight="1">
      <c r="D361" s="133"/>
    </row>
    <row r="362" ht="15.75" customHeight="1">
      <c r="D362" s="133"/>
    </row>
    <row r="363" ht="15.75" customHeight="1">
      <c r="D363" s="133"/>
    </row>
    <row r="364" ht="15.75" customHeight="1">
      <c r="D364" s="133"/>
    </row>
    <row r="365" ht="15.75" customHeight="1">
      <c r="D365" s="133"/>
    </row>
    <row r="366" ht="15.75" customHeight="1">
      <c r="D366" s="133"/>
    </row>
    <row r="367" ht="15.75" customHeight="1">
      <c r="D367" s="133"/>
    </row>
    <row r="368" ht="15.75" customHeight="1">
      <c r="D368" s="133"/>
    </row>
    <row r="369" ht="15.75" customHeight="1">
      <c r="D369" s="133"/>
    </row>
    <row r="370" ht="15.75" customHeight="1">
      <c r="D370" s="133"/>
    </row>
    <row r="371" ht="15.75" customHeight="1">
      <c r="D371" s="133"/>
    </row>
    <row r="372" ht="15.75" customHeight="1">
      <c r="D372" s="133"/>
    </row>
    <row r="373" ht="15.75" customHeight="1">
      <c r="D373" s="133"/>
    </row>
    <row r="374" ht="15.75" customHeight="1">
      <c r="D374" s="133"/>
    </row>
    <row r="375" ht="15.75" customHeight="1">
      <c r="D375" s="133"/>
    </row>
    <row r="376" ht="15.75" customHeight="1">
      <c r="D376" s="133"/>
    </row>
    <row r="377" ht="15.75" customHeight="1">
      <c r="D377" s="133"/>
    </row>
    <row r="378" ht="15.75" customHeight="1">
      <c r="D378" s="133"/>
    </row>
    <row r="379" ht="15.75" customHeight="1">
      <c r="D379" s="133"/>
    </row>
    <row r="380" ht="15.75" customHeight="1">
      <c r="D380" s="133"/>
    </row>
    <row r="381" ht="15.75" customHeight="1">
      <c r="D381" s="133"/>
    </row>
    <row r="382" ht="15.75" customHeight="1">
      <c r="D382" s="133"/>
    </row>
    <row r="383" ht="15.75" customHeight="1">
      <c r="D383" s="133"/>
    </row>
    <row r="384" ht="15.75" customHeight="1">
      <c r="D384" s="133"/>
    </row>
    <row r="385" ht="15.75" customHeight="1">
      <c r="D385" s="133"/>
    </row>
    <row r="386" ht="15.75" customHeight="1">
      <c r="D386" s="133"/>
    </row>
    <row r="387" ht="15.75" customHeight="1">
      <c r="D387" s="133"/>
    </row>
    <row r="388" ht="15.75" customHeight="1">
      <c r="D388" s="133"/>
    </row>
    <row r="389" ht="15.75" customHeight="1">
      <c r="D389" s="133"/>
    </row>
    <row r="390" ht="15.75" customHeight="1">
      <c r="D390" s="133"/>
    </row>
    <row r="391" ht="15.75" customHeight="1">
      <c r="D391" s="133"/>
    </row>
    <row r="392" ht="15.75" customHeight="1">
      <c r="D392" s="133"/>
    </row>
    <row r="393" ht="15.75" customHeight="1">
      <c r="D393" s="133"/>
    </row>
    <row r="394" ht="15.75" customHeight="1">
      <c r="D394" s="133"/>
    </row>
    <row r="395" ht="15.75" customHeight="1">
      <c r="D395" s="133"/>
    </row>
    <row r="396" ht="15.75" customHeight="1">
      <c r="D396" s="133"/>
    </row>
    <row r="397" ht="15.75" customHeight="1">
      <c r="D397" s="133"/>
    </row>
    <row r="398" ht="15.75" customHeight="1">
      <c r="D398" s="133"/>
    </row>
    <row r="399" ht="15.75" customHeight="1">
      <c r="D399" s="133"/>
    </row>
    <row r="400" ht="15.75" customHeight="1">
      <c r="D400" s="133"/>
    </row>
    <row r="401" ht="15.75" customHeight="1">
      <c r="D401" s="133"/>
    </row>
    <row r="402" ht="15.75" customHeight="1">
      <c r="D402" s="133"/>
    </row>
    <row r="403" ht="15.75" customHeight="1">
      <c r="D403" s="133"/>
    </row>
    <row r="404" ht="15.75" customHeight="1">
      <c r="D404" s="133"/>
    </row>
    <row r="405" ht="15.75" customHeight="1">
      <c r="D405" s="133"/>
    </row>
    <row r="406" ht="15.75" customHeight="1">
      <c r="D406" s="133"/>
    </row>
    <row r="407" ht="15.75" customHeight="1">
      <c r="D407" s="133"/>
    </row>
    <row r="408" ht="15.75" customHeight="1">
      <c r="D408" s="133"/>
    </row>
    <row r="409" ht="15.75" customHeight="1">
      <c r="D409" s="133"/>
    </row>
    <row r="410" ht="15.75" customHeight="1">
      <c r="D410" s="133"/>
    </row>
    <row r="411" ht="15.75" customHeight="1">
      <c r="D411" s="133"/>
    </row>
    <row r="412" ht="15.75" customHeight="1">
      <c r="D412" s="133"/>
    </row>
    <row r="413" ht="15.75" customHeight="1">
      <c r="D413" s="133"/>
    </row>
    <row r="414" ht="15.75" customHeight="1">
      <c r="D414" s="133"/>
    </row>
    <row r="415" ht="15.75" customHeight="1">
      <c r="D415" s="133"/>
    </row>
    <row r="416" ht="15.75" customHeight="1">
      <c r="D416" s="133"/>
    </row>
    <row r="417" ht="15.75" customHeight="1">
      <c r="D417" s="133"/>
    </row>
    <row r="418" ht="15.75" customHeight="1">
      <c r="D418" s="133"/>
    </row>
    <row r="419" ht="15.75" customHeight="1">
      <c r="D419" s="133"/>
    </row>
    <row r="420" ht="15.75" customHeight="1">
      <c r="D420" s="133"/>
    </row>
    <row r="421" ht="15.75" customHeight="1">
      <c r="D421" s="133"/>
    </row>
    <row r="422" ht="15.75" customHeight="1">
      <c r="D422" s="133"/>
    </row>
    <row r="423" ht="15.75" customHeight="1">
      <c r="D423" s="133"/>
    </row>
    <row r="424" ht="15.75" customHeight="1">
      <c r="D424" s="133"/>
    </row>
    <row r="425" ht="15.75" customHeight="1">
      <c r="D425" s="133"/>
    </row>
    <row r="426" ht="15.75" customHeight="1">
      <c r="D426" s="133"/>
    </row>
    <row r="427" ht="15.75" customHeight="1">
      <c r="D427" s="133"/>
    </row>
    <row r="428" ht="15.75" customHeight="1">
      <c r="D428" s="133"/>
    </row>
    <row r="429" ht="15.75" customHeight="1">
      <c r="D429" s="133"/>
    </row>
    <row r="430" ht="15.75" customHeight="1">
      <c r="D430" s="133"/>
    </row>
    <row r="431" ht="15.75" customHeight="1">
      <c r="D431" s="133"/>
    </row>
    <row r="432" ht="15.75" customHeight="1">
      <c r="D432" s="133"/>
    </row>
    <row r="433" ht="15.75" customHeight="1">
      <c r="D433" s="133"/>
    </row>
    <row r="434" ht="15.75" customHeight="1">
      <c r="D434" s="133"/>
    </row>
    <row r="435" ht="15.75" customHeight="1">
      <c r="D435" s="133"/>
    </row>
    <row r="436" ht="15.75" customHeight="1">
      <c r="D436" s="133"/>
    </row>
    <row r="437" ht="15.75" customHeight="1">
      <c r="D437" s="133"/>
    </row>
    <row r="438" ht="15.75" customHeight="1">
      <c r="D438" s="133"/>
    </row>
    <row r="439" ht="15.75" customHeight="1">
      <c r="D439" s="133"/>
    </row>
    <row r="440" ht="15.75" customHeight="1">
      <c r="D440" s="133"/>
    </row>
    <row r="441" ht="15.75" customHeight="1">
      <c r="D441" s="133"/>
    </row>
    <row r="442" ht="15.75" customHeight="1">
      <c r="D442" s="133"/>
    </row>
    <row r="443" ht="15.75" customHeight="1">
      <c r="D443" s="133"/>
    </row>
    <row r="444" ht="15.75" customHeight="1">
      <c r="D444" s="133"/>
    </row>
    <row r="445" ht="15.75" customHeight="1">
      <c r="D445" s="133"/>
    </row>
    <row r="446" ht="15.75" customHeight="1">
      <c r="D446" s="133"/>
    </row>
    <row r="447" ht="15.75" customHeight="1">
      <c r="D447" s="133"/>
    </row>
    <row r="448" ht="15.75" customHeight="1">
      <c r="D448" s="133"/>
    </row>
    <row r="449" ht="15.75" customHeight="1">
      <c r="D449" s="133"/>
    </row>
    <row r="450" ht="15.75" customHeight="1">
      <c r="D450" s="133"/>
    </row>
    <row r="451" ht="15.75" customHeight="1">
      <c r="D451" s="133"/>
    </row>
    <row r="452" ht="15.75" customHeight="1">
      <c r="D452" s="133"/>
    </row>
    <row r="453" ht="15.75" customHeight="1">
      <c r="D453" s="133"/>
    </row>
    <row r="454" ht="15.75" customHeight="1">
      <c r="D454" s="133"/>
    </row>
    <row r="455" ht="15.75" customHeight="1">
      <c r="D455" s="133"/>
    </row>
    <row r="456" ht="15.75" customHeight="1">
      <c r="D456" s="133"/>
    </row>
    <row r="457" ht="15.75" customHeight="1">
      <c r="D457" s="133"/>
    </row>
    <row r="458" ht="15.75" customHeight="1">
      <c r="D458" s="133"/>
    </row>
    <row r="459" ht="15.75" customHeight="1">
      <c r="D459" s="133"/>
    </row>
    <row r="460" ht="15.75" customHeight="1">
      <c r="D460" s="133"/>
    </row>
    <row r="461" ht="15.75" customHeight="1">
      <c r="D461" s="133"/>
    </row>
    <row r="462" ht="15.75" customHeight="1">
      <c r="D462" s="133"/>
    </row>
    <row r="463" ht="15.75" customHeight="1">
      <c r="D463" s="133"/>
    </row>
    <row r="464" ht="15.75" customHeight="1">
      <c r="D464" s="133"/>
    </row>
    <row r="465" ht="15.75" customHeight="1">
      <c r="D465" s="133"/>
    </row>
    <row r="466" ht="15.75" customHeight="1">
      <c r="D466" s="133"/>
    </row>
    <row r="467" ht="15.75" customHeight="1">
      <c r="D467" s="133"/>
    </row>
    <row r="468" ht="15.75" customHeight="1">
      <c r="D468" s="133"/>
    </row>
    <row r="469" ht="15.75" customHeight="1">
      <c r="D469" s="133"/>
    </row>
    <row r="470" ht="15.75" customHeight="1">
      <c r="D470" s="133"/>
    </row>
    <row r="471" ht="15.75" customHeight="1">
      <c r="D471" s="133"/>
    </row>
    <row r="472" ht="15.75" customHeight="1">
      <c r="D472" s="133"/>
    </row>
    <row r="473" ht="15.75" customHeight="1">
      <c r="D473" s="133"/>
    </row>
    <row r="474" ht="15.75" customHeight="1">
      <c r="D474" s="133"/>
    </row>
    <row r="475" ht="15.75" customHeight="1">
      <c r="D475" s="133"/>
    </row>
    <row r="476" ht="15.75" customHeight="1">
      <c r="D476" s="133"/>
    </row>
    <row r="477" ht="15.75" customHeight="1">
      <c r="D477" s="133"/>
    </row>
    <row r="478" ht="15.75" customHeight="1">
      <c r="D478" s="133"/>
    </row>
    <row r="479" ht="15.75" customHeight="1">
      <c r="D479" s="133"/>
    </row>
    <row r="480" ht="15.75" customHeight="1">
      <c r="D480" s="133"/>
    </row>
    <row r="481" ht="15.75" customHeight="1">
      <c r="D481" s="133"/>
    </row>
    <row r="482" ht="15.75" customHeight="1">
      <c r="D482" s="133"/>
    </row>
    <row r="483" ht="15.75" customHeight="1">
      <c r="D483" s="133"/>
    </row>
    <row r="484" ht="15.75" customHeight="1">
      <c r="D484" s="133"/>
    </row>
    <row r="485" ht="15.75" customHeight="1">
      <c r="D485" s="133"/>
    </row>
    <row r="486" ht="15.75" customHeight="1">
      <c r="D486" s="133"/>
    </row>
    <row r="487" ht="15.75" customHeight="1">
      <c r="D487" s="133"/>
    </row>
    <row r="488" ht="15.75" customHeight="1">
      <c r="D488" s="133"/>
    </row>
    <row r="489" ht="15.75" customHeight="1">
      <c r="D489" s="133"/>
    </row>
    <row r="490" ht="15.75" customHeight="1">
      <c r="D490" s="133"/>
    </row>
    <row r="491" ht="15.75" customHeight="1">
      <c r="D491" s="133"/>
    </row>
    <row r="492" ht="15.75" customHeight="1">
      <c r="D492" s="133"/>
    </row>
    <row r="493" ht="15.75" customHeight="1">
      <c r="D493" s="133"/>
    </row>
    <row r="494" ht="15.75" customHeight="1">
      <c r="D494" s="133"/>
    </row>
    <row r="495" ht="15.75" customHeight="1">
      <c r="D495" s="133"/>
    </row>
    <row r="496" ht="15.75" customHeight="1">
      <c r="D496" s="133"/>
    </row>
    <row r="497" ht="15.75" customHeight="1">
      <c r="D497" s="133"/>
    </row>
    <row r="498" ht="15.75" customHeight="1">
      <c r="D498" s="133"/>
    </row>
    <row r="499" ht="15.75" customHeight="1">
      <c r="D499" s="133"/>
    </row>
    <row r="500" ht="15.75" customHeight="1">
      <c r="D500" s="133"/>
    </row>
    <row r="501" ht="15.75" customHeight="1">
      <c r="D501" s="133"/>
    </row>
    <row r="502" ht="15.75" customHeight="1">
      <c r="D502" s="133"/>
    </row>
    <row r="503" ht="15.75" customHeight="1">
      <c r="D503" s="133"/>
    </row>
    <row r="504" ht="15.75" customHeight="1">
      <c r="D504" s="133"/>
    </row>
    <row r="505" ht="15.75" customHeight="1">
      <c r="D505" s="133"/>
    </row>
    <row r="506" ht="15.75" customHeight="1">
      <c r="D506" s="133"/>
    </row>
    <row r="507" ht="15.75" customHeight="1">
      <c r="D507" s="133"/>
    </row>
    <row r="508" ht="15.75" customHeight="1">
      <c r="D508" s="133"/>
    </row>
    <row r="509" ht="15.75" customHeight="1">
      <c r="D509" s="133"/>
    </row>
    <row r="510" ht="15.75" customHeight="1">
      <c r="D510" s="133"/>
    </row>
    <row r="511" ht="15.75" customHeight="1">
      <c r="D511" s="133"/>
    </row>
    <row r="512" ht="15.75" customHeight="1">
      <c r="D512" s="133"/>
    </row>
    <row r="513" ht="15.75" customHeight="1">
      <c r="D513" s="133"/>
    </row>
    <row r="514" ht="15.75" customHeight="1">
      <c r="D514" s="133"/>
    </row>
    <row r="515" ht="15.75" customHeight="1">
      <c r="D515" s="133"/>
    </row>
    <row r="516" ht="15.75" customHeight="1">
      <c r="D516" s="133"/>
    </row>
    <row r="517" ht="15.75" customHeight="1">
      <c r="D517" s="133"/>
    </row>
    <row r="518" ht="15.75" customHeight="1">
      <c r="D518" s="133"/>
    </row>
    <row r="519" ht="15.75" customHeight="1">
      <c r="D519" s="133"/>
    </row>
    <row r="520" ht="15.75" customHeight="1">
      <c r="D520" s="133"/>
    </row>
    <row r="521" ht="15.75" customHeight="1">
      <c r="D521" s="133"/>
    </row>
    <row r="522" ht="15.75" customHeight="1">
      <c r="D522" s="133"/>
    </row>
    <row r="523" ht="15.75" customHeight="1">
      <c r="D523" s="133"/>
    </row>
    <row r="524" ht="15.75" customHeight="1">
      <c r="D524" s="133"/>
    </row>
    <row r="525" ht="15.75" customHeight="1">
      <c r="D525" s="133"/>
    </row>
    <row r="526" ht="15.75" customHeight="1">
      <c r="D526" s="133"/>
    </row>
    <row r="527" ht="15.75" customHeight="1">
      <c r="D527" s="133"/>
    </row>
    <row r="528" ht="15.75" customHeight="1">
      <c r="D528" s="133"/>
    </row>
    <row r="529" ht="15.75" customHeight="1">
      <c r="D529" s="133"/>
    </row>
    <row r="530" ht="15.75" customHeight="1">
      <c r="D530" s="133"/>
    </row>
    <row r="531" ht="15.75" customHeight="1">
      <c r="D531" s="133"/>
    </row>
    <row r="532" ht="15.75" customHeight="1">
      <c r="D532" s="133"/>
    </row>
    <row r="533" ht="15.75" customHeight="1">
      <c r="D533" s="133"/>
    </row>
    <row r="534" ht="15.75" customHeight="1">
      <c r="D534" s="133"/>
    </row>
    <row r="535" ht="15.75" customHeight="1">
      <c r="D535" s="133"/>
    </row>
    <row r="536" ht="15.75" customHeight="1">
      <c r="D536" s="133"/>
    </row>
    <row r="537" ht="15.75" customHeight="1">
      <c r="D537" s="133"/>
    </row>
    <row r="538" ht="15.75" customHeight="1">
      <c r="D538" s="133"/>
    </row>
    <row r="539" ht="15.75" customHeight="1">
      <c r="D539" s="133"/>
    </row>
    <row r="540" ht="15.75" customHeight="1">
      <c r="D540" s="133"/>
    </row>
    <row r="541" ht="15.75" customHeight="1">
      <c r="D541" s="133"/>
    </row>
    <row r="542" ht="15.75" customHeight="1">
      <c r="D542" s="133"/>
    </row>
    <row r="543" ht="15.75" customHeight="1">
      <c r="D543" s="133"/>
    </row>
    <row r="544" ht="15.75" customHeight="1">
      <c r="D544" s="133"/>
    </row>
    <row r="545" ht="15.75" customHeight="1">
      <c r="D545" s="133"/>
    </row>
    <row r="546" ht="15.75" customHeight="1">
      <c r="D546" s="133"/>
    </row>
    <row r="547" ht="15.75" customHeight="1">
      <c r="D547" s="133"/>
    </row>
    <row r="548" ht="15.75" customHeight="1">
      <c r="D548" s="133"/>
    </row>
    <row r="549" ht="15.75" customHeight="1">
      <c r="D549" s="133"/>
    </row>
    <row r="550" ht="15.75" customHeight="1">
      <c r="D550" s="133"/>
    </row>
    <row r="551" ht="15.75" customHeight="1">
      <c r="D551" s="133"/>
    </row>
    <row r="552" ht="15.75" customHeight="1">
      <c r="D552" s="133"/>
    </row>
    <row r="553" ht="15.75" customHeight="1">
      <c r="D553" s="133"/>
    </row>
    <row r="554" ht="15.75" customHeight="1">
      <c r="D554" s="133"/>
    </row>
    <row r="555" ht="15.75" customHeight="1">
      <c r="D555" s="133"/>
    </row>
    <row r="556" ht="15.75" customHeight="1">
      <c r="D556" s="133"/>
    </row>
    <row r="557" ht="15.75" customHeight="1">
      <c r="D557" s="133"/>
    </row>
    <row r="558" ht="15.75" customHeight="1">
      <c r="D558" s="133"/>
    </row>
    <row r="559" ht="15.75" customHeight="1">
      <c r="D559" s="133"/>
    </row>
    <row r="560" ht="15.75" customHeight="1">
      <c r="D560" s="133"/>
    </row>
    <row r="561" ht="15.75" customHeight="1">
      <c r="D561" s="133"/>
    </row>
    <row r="562" ht="15.75" customHeight="1">
      <c r="D562" s="133"/>
    </row>
    <row r="563" ht="15.75" customHeight="1">
      <c r="D563" s="133"/>
    </row>
    <row r="564" ht="15.75" customHeight="1">
      <c r="D564" s="133"/>
    </row>
    <row r="565" ht="15.75" customHeight="1">
      <c r="D565" s="133"/>
    </row>
    <row r="566" ht="15.75" customHeight="1">
      <c r="D566" s="133"/>
    </row>
    <row r="567" ht="15.75" customHeight="1">
      <c r="D567" s="133"/>
    </row>
    <row r="568" ht="15.75" customHeight="1">
      <c r="D568" s="133"/>
    </row>
    <row r="569" ht="15.75" customHeight="1">
      <c r="D569" s="133"/>
    </row>
    <row r="570" ht="15.75" customHeight="1">
      <c r="D570" s="133"/>
    </row>
    <row r="571" ht="15.75" customHeight="1">
      <c r="D571" s="133"/>
    </row>
    <row r="572" ht="15.75" customHeight="1">
      <c r="D572" s="133"/>
    </row>
    <row r="573" ht="15.75" customHeight="1">
      <c r="D573" s="133"/>
    </row>
    <row r="574" ht="15.75" customHeight="1">
      <c r="D574" s="133"/>
    </row>
    <row r="575" ht="15.75" customHeight="1">
      <c r="D575" s="133"/>
    </row>
    <row r="576" ht="15.75" customHeight="1">
      <c r="D576" s="133"/>
    </row>
    <row r="577" ht="15.75" customHeight="1">
      <c r="D577" s="133"/>
    </row>
    <row r="578" ht="15.75" customHeight="1">
      <c r="D578" s="133"/>
    </row>
    <row r="579" ht="15.75" customHeight="1">
      <c r="D579" s="133"/>
    </row>
    <row r="580" ht="15.75" customHeight="1">
      <c r="D580" s="133"/>
    </row>
    <row r="581" ht="15.75" customHeight="1">
      <c r="D581" s="133"/>
    </row>
    <row r="582" ht="15.75" customHeight="1">
      <c r="D582" s="133"/>
    </row>
    <row r="583" ht="15.75" customHeight="1">
      <c r="D583" s="133"/>
    </row>
    <row r="584" ht="15.75" customHeight="1">
      <c r="D584" s="133"/>
    </row>
    <row r="585" ht="15.75" customHeight="1">
      <c r="D585" s="133"/>
    </row>
    <row r="586" ht="15.75" customHeight="1">
      <c r="D586" s="133"/>
    </row>
    <row r="587" ht="15.75" customHeight="1">
      <c r="D587" s="133"/>
    </row>
    <row r="588" ht="15.75" customHeight="1">
      <c r="D588" s="133"/>
    </row>
    <row r="589" ht="15.75" customHeight="1">
      <c r="D589" s="133"/>
    </row>
    <row r="590" ht="15.75" customHeight="1">
      <c r="D590" s="133"/>
    </row>
    <row r="591" ht="15.75" customHeight="1">
      <c r="D591" s="133"/>
    </row>
    <row r="592" ht="15.75" customHeight="1">
      <c r="D592" s="133"/>
    </row>
    <row r="593" ht="15.75" customHeight="1">
      <c r="D593" s="133"/>
    </row>
    <row r="594" ht="15.75" customHeight="1">
      <c r="D594" s="133"/>
    </row>
    <row r="595" ht="15.75" customHeight="1">
      <c r="D595" s="133"/>
    </row>
    <row r="596" ht="15.75" customHeight="1">
      <c r="D596" s="133"/>
    </row>
    <row r="597" ht="15.75" customHeight="1">
      <c r="D597" s="133"/>
    </row>
    <row r="598" ht="15.75" customHeight="1">
      <c r="D598" s="133"/>
    </row>
    <row r="599" ht="15.75" customHeight="1">
      <c r="D599" s="133"/>
    </row>
    <row r="600" ht="15.75" customHeight="1">
      <c r="D600" s="133"/>
    </row>
    <row r="601" ht="15.75" customHeight="1">
      <c r="D601" s="133"/>
    </row>
    <row r="602" ht="15.75" customHeight="1">
      <c r="D602" s="133"/>
    </row>
    <row r="603" ht="15.75" customHeight="1">
      <c r="D603" s="133"/>
    </row>
    <row r="604" ht="15.75" customHeight="1">
      <c r="D604" s="133"/>
    </row>
    <row r="605" ht="15.75" customHeight="1">
      <c r="D605" s="133"/>
    </row>
    <row r="606" ht="15.75" customHeight="1">
      <c r="D606" s="133"/>
    </row>
    <row r="607" ht="15.75" customHeight="1">
      <c r="D607" s="133"/>
    </row>
    <row r="608" ht="15.75" customHeight="1">
      <c r="D608" s="133"/>
    </row>
    <row r="609" ht="15.75" customHeight="1">
      <c r="D609" s="133"/>
    </row>
    <row r="610" ht="15.75" customHeight="1">
      <c r="D610" s="133"/>
    </row>
    <row r="611" ht="15.75" customHeight="1">
      <c r="D611" s="133"/>
    </row>
    <row r="612" ht="15.75" customHeight="1">
      <c r="D612" s="133"/>
    </row>
    <row r="613" ht="15.75" customHeight="1">
      <c r="D613" s="133"/>
    </row>
    <row r="614" ht="15.75" customHeight="1">
      <c r="D614" s="133"/>
    </row>
    <row r="615" ht="15.75" customHeight="1">
      <c r="D615" s="133"/>
    </row>
    <row r="616" ht="15.75" customHeight="1">
      <c r="D616" s="133"/>
    </row>
    <row r="617" ht="15.75" customHeight="1">
      <c r="D617" s="133"/>
    </row>
    <row r="618" ht="15.75" customHeight="1">
      <c r="D618" s="133"/>
    </row>
    <row r="619" ht="15.75" customHeight="1">
      <c r="D619" s="133"/>
    </row>
    <row r="620" ht="15.75" customHeight="1">
      <c r="D620" s="133"/>
    </row>
    <row r="621" ht="15.75" customHeight="1">
      <c r="D621" s="133"/>
    </row>
    <row r="622" ht="15.75" customHeight="1">
      <c r="D622" s="133"/>
    </row>
    <row r="623" ht="15.75" customHeight="1">
      <c r="D623" s="133"/>
    </row>
    <row r="624" ht="15.75" customHeight="1">
      <c r="D624" s="133"/>
    </row>
    <row r="625" ht="15.75" customHeight="1">
      <c r="D625" s="133"/>
    </row>
    <row r="626" ht="15.75" customHeight="1">
      <c r="D626" s="133"/>
    </row>
    <row r="627" ht="15.75" customHeight="1">
      <c r="D627" s="133"/>
    </row>
    <row r="628" ht="15.75" customHeight="1">
      <c r="D628" s="133"/>
    </row>
    <row r="629" ht="15.75" customHeight="1">
      <c r="D629" s="133"/>
    </row>
    <row r="630" ht="15.75" customHeight="1">
      <c r="D630" s="133"/>
    </row>
    <row r="631" ht="15.75" customHeight="1">
      <c r="D631" s="133"/>
    </row>
    <row r="632" ht="15.75" customHeight="1">
      <c r="D632" s="133"/>
    </row>
    <row r="633" ht="15.75" customHeight="1">
      <c r="D633" s="133"/>
    </row>
    <row r="634" ht="15.75" customHeight="1">
      <c r="D634" s="133"/>
    </row>
    <row r="635" ht="15.75" customHeight="1">
      <c r="D635" s="133"/>
    </row>
    <row r="636" ht="15.75" customHeight="1">
      <c r="D636" s="133"/>
    </row>
    <row r="637" ht="15.75" customHeight="1">
      <c r="D637" s="133"/>
    </row>
    <row r="638" ht="15.75" customHeight="1">
      <c r="D638" s="133"/>
    </row>
    <row r="639" ht="15.75" customHeight="1">
      <c r="D639" s="133"/>
    </row>
    <row r="640" ht="15.75" customHeight="1">
      <c r="D640" s="133"/>
    </row>
    <row r="641" ht="15.75" customHeight="1">
      <c r="D641" s="133"/>
    </row>
    <row r="642" ht="15.75" customHeight="1">
      <c r="D642" s="133"/>
    </row>
    <row r="643" ht="15.75" customHeight="1">
      <c r="D643" s="133"/>
    </row>
    <row r="644" ht="15.75" customHeight="1">
      <c r="D644" s="133"/>
    </row>
    <row r="645" ht="15.75" customHeight="1">
      <c r="D645" s="133"/>
    </row>
    <row r="646" ht="15.75" customHeight="1">
      <c r="D646" s="133"/>
    </row>
    <row r="647" ht="15.75" customHeight="1">
      <c r="D647" s="133"/>
    </row>
    <row r="648" ht="15.75" customHeight="1">
      <c r="D648" s="133"/>
    </row>
    <row r="649" ht="15.75" customHeight="1">
      <c r="D649" s="133"/>
    </row>
    <row r="650" ht="15.75" customHeight="1">
      <c r="D650" s="133"/>
    </row>
    <row r="651" ht="15.75" customHeight="1">
      <c r="D651" s="133"/>
    </row>
    <row r="652" ht="15.75" customHeight="1">
      <c r="D652" s="133"/>
    </row>
    <row r="653" ht="15.75" customHeight="1">
      <c r="D653" s="133"/>
    </row>
    <row r="654" ht="15.75" customHeight="1">
      <c r="D654" s="133"/>
    </row>
    <row r="655" ht="15.75" customHeight="1">
      <c r="D655" s="133"/>
    </row>
    <row r="656" ht="15.75" customHeight="1">
      <c r="D656" s="133"/>
    </row>
    <row r="657" ht="15.75" customHeight="1">
      <c r="D657" s="133"/>
    </row>
    <row r="658" ht="15.75" customHeight="1">
      <c r="D658" s="133"/>
    </row>
    <row r="659" ht="15.75" customHeight="1">
      <c r="D659" s="133"/>
    </row>
    <row r="660" ht="15.75" customHeight="1">
      <c r="D660" s="133"/>
    </row>
    <row r="661" ht="15.75" customHeight="1">
      <c r="D661" s="133"/>
    </row>
    <row r="662" ht="15.75" customHeight="1">
      <c r="D662" s="133"/>
    </row>
    <row r="663" ht="15.75" customHeight="1">
      <c r="D663" s="133"/>
    </row>
    <row r="664" ht="15.75" customHeight="1">
      <c r="D664" s="133"/>
    </row>
    <row r="665" ht="15.75" customHeight="1">
      <c r="D665" s="133"/>
    </row>
    <row r="666" ht="15.75" customHeight="1">
      <c r="D666" s="133"/>
    </row>
    <row r="667" ht="15.75" customHeight="1">
      <c r="D667" s="133"/>
    </row>
    <row r="668" ht="15.75" customHeight="1">
      <c r="D668" s="133"/>
    </row>
    <row r="669" ht="15.75" customHeight="1">
      <c r="D669" s="133"/>
    </row>
    <row r="670" ht="15.75" customHeight="1">
      <c r="D670" s="133"/>
    </row>
    <row r="671" ht="15.75" customHeight="1">
      <c r="D671" s="133"/>
    </row>
    <row r="672" ht="15.75" customHeight="1">
      <c r="D672" s="133"/>
    </row>
    <row r="673" ht="15.75" customHeight="1">
      <c r="D673" s="133"/>
    </row>
    <row r="674" ht="15.75" customHeight="1">
      <c r="D674" s="133"/>
    </row>
    <row r="675" ht="15.75" customHeight="1">
      <c r="D675" s="133"/>
    </row>
    <row r="676" ht="15.75" customHeight="1">
      <c r="D676" s="133"/>
    </row>
    <row r="677" ht="15.75" customHeight="1">
      <c r="D677" s="133"/>
    </row>
    <row r="678" ht="15.75" customHeight="1">
      <c r="D678" s="133"/>
    </row>
    <row r="679" ht="15.75" customHeight="1">
      <c r="D679" s="133"/>
    </row>
    <row r="680" ht="15.75" customHeight="1">
      <c r="D680" s="133"/>
    </row>
    <row r="681" ht="15.75" customHeight="1">
      <c r="D681" s="133"/>
    </row>
    <row r="682" ht="15.75" customHeight="1">
      <c r="D682" s="133"/>
    </row>
    <row r="683" ht="15.75" customHeight="1">
      <c r="D683" s="133"/>
    </row>
    <row r="684" ht="15.75" customHeight="1">
      <c r="D684" s="133"/>
    </row>
    <row r="685" ht="15.75" customHeight="1">
      <c r="D685" s="133"/>
    </row>
    <row r="686" ht="15.75" customHeight="1">
      <c r="D686" s="133"/>
    </row>
    <row r="687" ht="15.75" customHeight="1">
      <c r="D687" s="133"/>
    </row>
    <row r="688" ht="15.75" customHeight="1">
      <c r="D688" s="133"/>
    </row>
    <row r="689" ht="15.75" customHeight="1">
      <c r="D689" s="133"/>
    </row>
    <row r="690" ht="15.75" customHeight="1">
      <c r="D690" s="133"/>
    </row>
    <row r="691" ht="15.75" customHeight="1">
      <c r="D691" s="133"/>
    </row>
    <row r="692" ht="15.75" customHeight="1">
      <c r="D692" s="133"/>
    </row>
    <row r="693" ht="15.75" customHeight="1">
      <c r="D693" s="133"/>
    </row>
    <row r="694" ht="15.75" customHeight="1">
      <c r="D694" s="133"/>
    </row>
    <row r="695" ht="15.75" customHeight="1">
      <c r="D695" s="133"/>
    </row>
    <row r="696" ht="15.75" customHeight="1">
      <c r="D696" s="133"/>
    </row>
    <row r="697" ht="15.75" customHeight="1">
      <c r="D697" s="133"/>
    </row>
    <row r="698" ht="15.75" customHeight="1">
      <c r="D698" s="133"/>
    </row>
    <row r="699" ht="15.75" customHeight="1">
      <c r="D699" s="133"/>
    </row>
    <row r="700" ht="15.75" customHeight="1">
      <c r="D700" s="133"/>
    </row>
    <row r="701" ht="15.75" customHeight="1">
      <c r="D701" s="133"/>
    </row>
    <row r="702" ht="15.75" customHeight="1">
      <c r="D702" s="133"/>
    </row>
    <row r="703" ht="15.75" customHeight="1">
      <c r="D703" s="133"/>
    </row>
    <row r="704" ht="15.75" customHeight="1">
      <c r="D704" s="133"/>
    </row>
    <row r="705" ht="15.75" customHeight="1">
      <c r="D705" s="133"/>
    </row>
    <row r="706" ht="15.75" customHeight="1">
      <c r="D706" s="133"/>
    </row>
    <row r="707" ht="15.75" customHeight="1">
      <c r="D707" s="133"/>
    </row>
    <row r="708" ht="15.75" customHeight="1">
      <c r="D708" s="133"/>
    </row>
    <row r="709" ht="15.75" customHeight="1">
      <c r="D709" s="133"/>
    </row>
    <row r="710" ht="15.75" customHeight="1">
      <c r="D710" s="133"/>
    </row>
    <row r="711" ht="15.75" customHeight="1">
      <c r="D711" s="133"/>
    </row>
    <row r="712" ht="15.75" customHeight="1">
      <c r="D712" s="133"/>
    </row>
    <row r="713" ht="15.75" customHeight="1">
      <c r="D713" s="133"/>
    </row>
    <row r="714" ht="15.75" customHeight="1">
      <c r="D714" s="133"/>
    </row>
    <row r="715" ht="15.75" customHeight="1">
      <c r="D715" s="133"/>
    </row>
    <row r="716" ht="15.75" customHeight="1">
      <c r="D716" s="133"/>
    </row>
    <row r="717" ht="15.75" customHeight="1">
      <c r="D717" s="133"/>
    </row>
    <row r="718" ht="15.75" customHeight="1">
      <c r="D718" s="133"/>
    </row>
    <row r="719" ht="15.75" customHeight="1">
      <c r="D719" s="133"/>
    </row>
    <row r="720" ht="15.75" customHeight="1">
      <c r="D720" s="133"/>
    </row>
    <row r="721" ht="15.75" customHeight="1">
      <c r="D721" s="133"/>
    </row>
    <row r="722" ht="15.75" customHeight="1">
      <c r="D722" s="133"/>
    </row>
    <row r="723" ht="15.75" customHeight="1">
      <c r="D723" s="133"/>
    </row>
    <row r="724" ht="15.75" customHeight="1">
      <c r="D724" s="133"/>
    </row>
    <row r="725" ht="15.75" customHeight="1">
      <c r="D725" s="133"/>
    </row>
    <row r="726" ht="15.75" customHeight="1">
      <c r="D726" s="133"/>
    </row>
    <row r="727" ht="15.75" customHeight="1">
      <c r="D727" s="133"/>
    </row>
    <row r="728" ht="15.75" customHeight="1">
      <c r="D728" s="133"/>
    </row>
    <row r="729" ht="15.75" customHeight="1">
      <c r="D729" s="133"/>
    </row>
    <row r="730" ht="15.75" customHeight="1">
      <c r="D730" s="133"/>
    </row>
    <row r="731" ht="15.75" customHeight="1">
      <c r="D731" s="133"/>
    </row>
    <row r="732" ht="15.75" customHeight="1">
      <c r="D732" s="133"/>
    </row>
    <row r="733" ht="15.75" customHeight="1">
      <c r="D733" s="133"/>
    </row>
    <row r="734" ht="15.75" customHeight="1">
      <c r="D734" s="133"/>
    </row>
    <row r="735" ht="15.75" customHeight="1">
      <c r="D735" s="133"/>
    </row>
    <row r="736" ht="15.75" customHeight="1">
      <c r="D736" s="133"/>
    </row>
    <row r="737" ht="15.75" customHeight="1">
      <c r="D737" s="133"/>
    </row>
    <row r="738" ht="15.75" customHeight="1">
      <c r="D738" s="133"/>
    </row>
    <row r="739" ht="15.75" customHeight="1">
      <c r="D739" s="133"/>
    </row>
    <row r="740" ht="15.75" customHeight="1">
      <c r="D740" s="133"/>
    </row>
    <row r="741" ht="15.75" customHeight="1">
      <c r="D741" s="133"/>
    </row>
    <row r="742" ht="15.75" customHeight="1">
      <c r="D742" s="133"/>
    </row>
    <row r="743" ht="15.75" customHeight="1">
      <c r="D743" s="133"/>
    </row>
    <row r="744" ht="15.75" customHeight="1">
      <c r="D744" s="133"/>
    </row>
    <row r="745" ht="15.75" customHeight="1">
      <c r="D745" s="133"/>
    </row>
    <row r="746" ht="15.75" customHeight="1">
      <c r="D746" s="133"/>
    </row>
    <row r="747" ht="15.75" customHeight="1">
      <c r="D747" s="133"/>
    </row>
    <row r="748" ht="15.75" customHeight="1">
      <c r="D748" s="133"/>
    </row>
    <row r="749" ht="15.75" customHeight="1">
      <c r="D749" s="133"/>
    </row>
    <row r="750" ht="15.75" customHeight="1">
      <c r="D750" s="133"/>
    </row>
    <row r="751" ht="15.75" customHeight="1">
      <c r="D751" s="133"/>
    </row>
    <row r="752" ht="15.75" customHeight="1">
      <c r="D752" s="133"/>
    </row>
    <row r="753" ht="15.75" customHeight="1">
      <c r="D753" s="133"/>
    </row>
    <row r="754" ht="15.75" customHeight="1">
      <c r="D754" s="133"/>
    </row>
    <row r="755" ht="15.75" customHeight="1">
      <c r="D755" s="133"/>
    </row>
    <row r="756" ht="15.75" customHeight="1">
      <c r="D756" s="133"/>
    </row>
    <row r="757" ht="15.75" customHeight="1">
      <c r="D757" s="133"/>
    </row>
    <row r="758" ht="15.75" customHeight="1">
      <c r="D758" s="133"/>
    </row>
    <row r="759" ht="15.75" customHeight="1">
      <c r="D759" s="133"/>
    </row>
    <row r="760" ht="15.75" customHeight="1">
      <c r="D760" s="133"/>
    </row>
    <row r="761" ht="15.75" customHeight="1">
      <c r="D761" s="133"/>
    </row>
    <row r="762" ht="15.75" customHeight="1">
      <c r="D762" s="133"/>
    </row>
    <row r="763" ht="15.75" customHeight="1">
      <c r="D763" s="133"/>
    </row>
    <row r="764" ht="15.75" customHeight="1">
      <c r="D764" s="133"/>
    </row>
    <row r="765" ht="15.75" customHeight="1">
      <c r="D765" s="133"/>
    </row>
    <row r="766" ht="15.75" customHeight="1">
      <c r="D766" s="133"/>
    </row>
    <row r="767" ht="15.75" customHeight="1">
      <c r="D767" s="133"/>
    </row>
    <row r="768" ht="15.75" customHeight="1">
      <c r="D768" s="133"/>
    </row>
    <row r="769" ht="15.75" customHeight="1">
      <c r="D769" s="133"/>
    </row>
    <row r="770" ht="15.75" customHeight="1">
      <c r="D770" s="133"/>
    </row>
    <row r="771" ht="15.75" customHeight="1">
      <c r="D771" s="133"/>
    </row>
    <row r="772" ht="15.75" customHeight="1">
      <c r="D772" s="133"/>
    </row>
    <row r="773" ht="15.75" customHeight="1">
      <c r="D773" s="133"/>
    </row>
    <row r="774" ht="15.75" customHeight="1">
      <c r="D774" s="133"/>
    </row>
    <row r="775" ht="15.75" customHeight="1">
      <c r="D775" s="133"/>
    </row>
    <row r="776" ht="15.75" customHeight="1">
      <c r="D776" s="133"/>
    </row>
    <row r="777" ht="15.75" customHeight="1">
      <c r="D777" s="133"/>
    </row>
    <row r="778" ht="15.75" customHeight="1">
      <c r="D778" s="133"/>
    </row>
    <row r="779" ht="15.75" customHeight="1">
      <c r="D779" s="133"/>
    </row>
    <row r="780" ht="15.75" customHeight="1">
      <c r="D780" s="133"/>
    </row>
    <row r="781" ht="15.75" customHeight="1">
      <c r="D781" s="133"/>
    </row>
    <row r="782" ht="15.75" customHeight="1">
      <c r="D782" s="133"/>
    </row>
    <row r="783" ht="15.75" customHeight="1">
      <c r="D783" s="133"/>
    </row>
    <row r="784" ht="15.75" customHeight="1">
      <c r="D784" s="133"/>
    </row>
    <row r="785" ht="15.75" customHeight="1">
      <c r="D785" s="133"/>
    </row>
    <row r="786" ht="15.75" customHeight="1">
      <c r="D786" s="133"/>
    </row>
    <row r="787" ht="15.75" customHeight="1">
      <c r="D787" s="133"/>
    </row>
    <row r="788" ht="15.75" customHeight="1">
      <c r="D788" s="133"/>
    </row>
    <row r="789" ht="15.75" customHeight="1">
      <c r="D789" s="133"/>
    </row>
    <row r="790" ht="15.75" customHeight="1">
      <c r="D790" s="133"/>
    </row>
    <row r="791" ht="15.75" customHeight="1">
      <c r="D791" s="133"/>
    </row>
    <row r="792" ht="15.75" customHeight="1">
      <c r="D792" s="133"/>
    </row>
    <row r="793" ht="15.75" customHeight="1">
      <c r="D793" s="133"/>
    </row>
    <row r="794" ht="15.75" customHeight="1">
      <c r="D794" s="133"/>
    </row>
    <row r="795" ht="15.75" customHeight="1">
      <c r="D795" s="133"/>
    </row>
    <row r="796" ht="15.75" customHeight="1">
      <c r="D796" s="133"/>
    </row>
    <row r="797" ht="15.75" customHeight="1">
      <c r="D797" s="133"/>
    </row>
    <row r="798" ht="15.75" customHeight="1">
      <c r="D798" s="133"/>
    </row>
    <row r="799" ht="15.75" customHeight="1">
      <c r="D799" s="133"/>
    </row>
    <row r="800" ht="15.75" customHeight="1">
      <c r="D800" s="133"/>
    </row>
    <row r="801" ht="15.75" customHeight="1">
      <c r="D801" s="133"/>
    </row>
    <row r="802" ht="15.75" customHeight="1">
      <c r="D802" s="133"/>
    </row>
    <row r="803" ht="15.75" customHeight="1">
      <c r="D803" s="133"/>
    </row>
    <row r="804" ht="15.75" customHeight="1">
      <c r="D804" s="133"/>
    </row>
    <row r="805" ht="15.75" customHeight="1">
      <c r="D805" s="133"/>
    </row>
    <row r="806" ht="15.75" customHeight="1">
      <c r="D806" s="133"/>
    </row>
    <row r="807" ht="15.75" customHeight="1">
      <c r="D807" s="133"/>
    </row>
    <row r="808" ht="15.75" customHeight="1">
      <c r="D808" s="133"/>
    </row>
    <row r="809" ht="15.75" customHeight="1">
      <c r="D809" s="133"/>
    </row>
    <row r="810" ht="15.75" customHeight="1">
      <c r="D810" s="133"/>
    </row>
    <row r="811" ht="15.75" customHeight="1">
      <c r="D811" s="133"/>
    </row>
    <row r="812" ht="15.75" customHeight="1">
      <c r="D812" s="133"/>
    </row>
    <row r="813" ht="15.75" customHeight="1">
      <c r="D813" s="133"/>
    </row>
    <row r="814" ht="15.75" customHeight="1">
      <c r="D814" s="133"/>
    </row>
    <row r="815" ht="15.75" customHeight="1">
      <c r="D815" s="133"/>
    </row>
    <row r="816" ht="15.75" customHeight="1">
      <c r="D816" s="133"/>
    </row>
    <row r="817" ht="15.75" customHeight="1">
      <c r="D817" s="133"/>
    </row>
    <row r="818" ht="15.75" customHeight="1">
      <c r="D818" s="133"/>
    </row>
    <row r="819" ht="15.75" customHeight="1">
      <c r="D819" s="133"/>
    </row>
    <row r="820" ht="15.75" customHeight="1">
      <c r="D820" s="133"/>
    </row>
    <row r="821" ht="15.75" customHeight="1">
      <c r="D821" s="133"/>
    </row>
    <row r="822" ht="15.75" customHeight="1">
      <c r="D822" s="133"/>
    </row>
    <row r="823" ht="15.75" customHeight="1">
      <c r="D823" s="133"/>
    </row>
    <row r="824" ht="15.75" customHeight="1">
      <c r="D824" s="133"/>
    </row>
    <row r="825" ht="15.75" customHeight="1">
      <c r="D825" s="133"/>
    </row>
    <row r="826" ht="15.75" customHeight="1">
      <c r="D826" s="133"/>
    </row>
    <row r="827" ht="15.75" customHeight="1">
      <c r="D827" s="133"/>
    </row>
    <row r="828" ht="15.75" customHeight="1">
      <c r="D828" s="133"/>
    </row>
    <row r="829" ht="15.75" customHeight="1">
      <c r="D829" s="133"/>
    </row>
    <row r="830" ht="15.75" customHeight="1">
      <c r="D830" s="133"/>
    </row>
    <row r="831" ht="15.75" customHeight="1">
      <c r="D831" s="133"/>
    </row>
    <row r="832" ht="15.75" customHeight="1">
      <c r="D832" s="133"/>
    </row>
    <row r="833" ht="15.75" customHeight="1">
      <c r="D833" s="133"/>
    </row>
    <row r="834" ht="15.75" customHeight="1">
      <c r="D834" s="133"/>
    </row>
    <row r="835" ht="15.75" customHeight="1">
      <c r="D835" s="133"/>
    </row>
    <row r="836" ht="15.75" customHeight="1">
      <c r="D836" s="133"/>
    </row>
    <row r="837" ht="15.75" customHeight="1">
      <c r="D837" s="133"/>
    </row>
    <row r="838" ht="15.75" customHeight="1">
      <c r="D838" s="133"/>
    </row>
    <row r="839" ht="15.75" customHeight="1">
      <c r="D839" s="133"/>
    </row>
    <row r="840" ht="15.75" customHeight="1">
      <c r="D840" s="133"/>
    </row>
    <row r="841" ht="15.75" customHeight="1">
      <c r="D841" s="133"/>
    </row>
    <row r="842" ht="15.75" customHeight="1">
      <c r="D842" s="133"/>
    </row>
    <row r="843" ht="15.75" customHeight="1">
      <c r="D843" s="133"/>
    </row>
    <row r="844" ht="15.75" customHeight="1">
      <c r="D844" s="133"/>
    </row>
    <row r="845" ht="15.75" customHeight="1">
      <c r="D845" s="133"/>
    </row>
    <row r="846" ht="15.75" customHeight="1">
      <c r="D846" s="133"/>
    </row>
    <row r="847" ht="15.75" customHeight="1">
      <c r="D847" s="133"/>
    </row>
    <row r="848" ht="15.75" customHeight="1">
      <c r="D848" s="133"/>
    </row>
    <row r="849" ht="15.75" customHeight="1">
      <c r="D849" s="133"/>
    </row>
    <row r="850" ht="15.75" customHeight="1">
      <c r="D850" s="133"/>
    </row>
    <row r="851" ht="15.75" customHeight="1">
      <c r="D851" s="133"/>
    </row>
    <row r="852" ht="15.75" customHeight="1">
      <c r="D852" s="133"/>
    </row>
    <row r="853" ht="15.75" customHeight="1">
      <c r="D853" s="133"/>
    </row>
    <row r="854" ht="15.75" customHeight="1">
      <c r="D854" s="133"/>
    </row>
    <row r="855" ht="15.75" customHeight="1">
      <c r="D855" s="133"/>
    </row>
    <row r="856" ht="15.75" customHeight="1">
      <c r="D856" s="133"/>
    </row>
    <row r="857" ht="15.75" customHeight="1">
      <c r="D857" s="133"/>
    </row>
    <row r="858" ht="15.75" customHeight="1">
      <c r="D858" s="133"/>
    </row>
    <row r="859" ht="15.75" customHeight="1">
      <c r="D859" s="133"/>
    </row>
    <row r="860" ht="15.75" customHeight="1">
      <c r="D860" s="133"/>
    </row>
    <row r="861" ht="15.75" customHeight="1">
      <c r="D861" s="133"/>
    </row>
    <row r="862" ht="15.75" customHeight="1">
      <c r="D862" s="133"/>
    </row>
    <row r="863" ht="15.75" customHeight="1">
      <c r="D863" s="133"/>
    </row>
    <row r="864" ht="15.75" customHeight="1">
      <c r="D864" s="133"/>
    </row>
    <row r="865" ht="15.75" customHeight="1">
      <c r="D865" s="133"/>
    </row>
    <row r="866" ht="15.75" customHeight="1">
      <c r="D866" s="133"/>
    </row>
    <row r="867" ht="15.75" customHeight="1">
      <c r="D867" s="133"/>
    </row>
    <row r="868" ht="15.75" customHeight="1">
      <c r="D868" s="133"/>
    </row>
    <row r="869" ht="15.75" customHeight="1">
      <c r="D869" s="133"/>
    </row>
    <row r="870" ht="15.75" customHeight="1">
      <c r="D870" s="133"/>
    </row>
    <row r="871" ht="15.75" customHeight="1">
      <c r="D871" s="133"/>
    </row>
    <row r="872" ht="15.75" customHeight="1">
      <c r="D872" s="133"/>
    </row>
    <row r="873" ht="15.75" customHeight="1">
      <c r="D873" s="133"/>
    </row>
    <row r="874" ht="15.75" customHeight="1">
      <c r="D874" s="133"/>
    </row>
    <row r="875" ht="15.75" customHeight="1">
      <c r="D875" s="133"/>
    </row>
    <row r="876" ht="15.75" customHeight="1">
      <c r="D876" s="133"/>
    </row>
    <row r="877" ht="15.75" customHeight="1">
      <c r="D877" s="133"/>
    </row>
    <row r="878" ht="15.75" customHeight="1">
      <c r="D878" s="133"/>
    </row>
    <row r="879" ht="15.75" customHeight="1">
      <c r="D879" s="133"/>
    </row>
    <row r="880" ht="15.75" customHeight="1">
      <c r="D880" s="133"/>
    </row>
    <row r="881" ht="15.75" customHeight="1">
      <c r="D881" s="133"/>
    </row>
    <row r="882" ht="15.75" customHeight="1">
      <c r="D882" s="133"/>
    </row>
    <row r="883" ht="15.75" customHeight="1">
      <c r="D883" s="133"/>
    </row>
    <row r="884" ht="15.75" customHeight="1">
      <c r="D884" s="133"/>
    </row>
    <row r="885" ht="15.75" customHeight="1">
      <c r="D885" s="133"/>
    </row>
    <row r="886" ht="15.75" customHeight="1">
      <c r="D886" s="133"/>
    </row>
    <row r="887" ht="15.75" customHeight="1">
      <c r="D887" s="133"/>
    </row>
    <row r="888" ht="15.75" customHeight="1">
      <c r="D888" s="133"/>
    </row>
    <row r="889" ht="15.75" customHeight="1">
      <c r="D889" s="133"/>
    </row>
    <row r="890" ht="15.75" customHeight="1">
      <c r="D890" s="133"/>
    </row>
    <row r="891" ht="15.75" customHeight="1">
      <c r="D891" s="133"/>
    </row>
    <row r="892" ht="15.75" customHeight="1">
      <c r="D892" s="133"/>
    </row>
    <row r="893" ht="15.75" customHeight="1">
      <c r="D893" s="133"/>
    </row>
    <row r="894" ht="15.75" customHeight="1">
      <c r="D894" s="133"/>
    </row>
    <row r="895" ht="15.75" customHeight="1">
      <c r="D895" s="133"/>
    </row>
    <row r="896" ht="15.75" customHeight="1">
      <c r="D896" s="133"/>
    </row>
    <row r="897" ht="15.75" customHeight="1">
      <c r="D897" s="133"/>
    </row>
    <row r="898" ht="15.75" customHeight="1">
      <c r="D898" s="133"/>
    </row>
    <row r="899" ht="15.75" customHeight="1">
      <c r="D899" s="133"/>
    </row>
    <row r="900" ht="15.75" customHeight="1">
      <c r="D900" s="133"/>
    </row>
    <row r="901" ht="15.75" customHeight="1">
      <c r="D901" s="133"/>
    </row>
    <row r="902" ht="15.75" customHeight="1">
      <c r="D902" s="133"/>
    </row>
    <row r="903" ht="15.75" customHeight="1">
      <c r="D903" s="133"/>
    </row>
    <row r="904" ht="15.75" customHeight="1">
      <c r="D904" s="133"/>
    </row>
    <row r="905" ht="15.75" customHeight="1">
      <c r="D905" s="133"/>
    </row>
    <row r="906" ht="15.75" customHeight="1">
      <c r="D906" s="133"/>
    </row>
    <row r="907" ht="15.75" customHeight="1">
      <c r="D907" s="133"/>
    </row>
    <row r="908" ht="15.75" customHeight="1">
      <c r="D908" s="133"/>
    </row>
    <row r="909" ht="15.75" customHeight="1">
      <c r="D909" s="133"/>
    </row>
    <row r="910" ht="15.75" customHeight="1">
      <c r="D910" s="133"/>
    </row>
    <row r="911" ht="15.75" customHeight="1">
      <c r="D911" s="133"/>
    </row>
    <row r="912" ht="15.75" customHeight="1">
      <c r="D912" s="133"/>
    </row>
    <row r="913" ht="15.75" customHeight="1">
      <c r="D913" s="133"/>
    </row>
    <row r="914" ht="15.75" customHeight="1">
      <c r="D914" s="133"/>
    </row>
    <row r="915" ht="15.75" customHeight="1">
      <c r="D915" s="133"/>
    </row>
    <row r="916" ht="15.75" customHeight="1">
      <c r="D916" s="133"/>
    </row>
    <row r="917" ht="15.75" customHeight="1">
      <c r="D917" s="133"/>
    </row>
    <row r="918" ht="15.75" customHeight="1">
      <c r="D918" s="133"/>
    </row>
    <row r="919" ht="15.75" customHeight="1">
      <c r="D919" s="133"/>
    </row>
    <row r="920" ht="15.75" customHeight="1">
      <c r="D920" s="133"/>
    </row>
    <row r="921" ht="15.75" customHeight="1">
      <c r="D921" s="133"/>
    </row>
    <row r="922" ht="15.75" customHeight="1">
      <c r="D922" s="133"/>
    </row>
    <row r="923" ht="15.75" customHeight="1">
      <c r="D923" s="133"/>
    </row>
    <row r="924" ht="15.75" customHeight="1">
      <c r="D924" s="133"/>
    </row>
    <row r="925" ht="15.75" customHeight="1">
      <c r="D925" s="133"/>
    </row>
    <row r="926" ht="15.75" customHeight="1">
      <c r="D926" s="133"/>
    </row>
    <row r="927" ht="15.75" customHeight="1">
      <c r="D927" s="133"/>
    </row>
    <row r="928" ht="15.75" customHeight="1">
      <c r="D928" s="133"/>
    </row>
    <row r="929" ht="15.75" customHeight="1">
      <c r="D929" s="133"/>
    </row>
    <row r="930" ht="15.75" customHeight="1">
      <c r="D930" s="133"/>
    </row>
    <row r="931" ht="15.75" customHeight="1">
      <c r="D931" s="133"/>
    </row>
    <row r="932" ht="15.75" customHeight="1">
      <c r="D932" s="133"/>
    </row>
    <row r="933" ht="15.75" customHeight="1">
      <c r="D933" s="133"/>
    </row>
    <row r="934" ht="15.75" customHeight="1">
      <c r="D934" s="133"/>
    </row>
    <row r="935" ht="15.75" customHeight="1">
      <c r="D935" s="133"/>
    </row>
    <row r="936" ht="15.75" customHeight="1">
      <c r="D936" s="133"/>
    </row>
    <row r="937" ht="15.75" customHeight="1">
      <c r="D937" s="133"/>
    </row>
    <row r="938" ht="15.75" customHeight="1">
      <c r="D938" s="133"/>
    </row>
    <row r="939" ht="15.75" customHeight="1">
      <c r="D939" s="133"/>
    </row>
    <row r="940" ht="15.75" customHeight="1">
      <c r="D940" s="133"/>
    </row>
    <row r="941" ht="15.75" customHeight="1">
      <c r="D941" s="133"/>
    </row>
    <row r="942" ht="15.75" customHeight="1">
      <c r="D942" s="133"/>
    </row>
    <row r="943" ht="15.75" customHeight="1">
      <c r="D943" s="133"/>
    </row>
    <row r="944" ht="15.75" customHeight="1">
      <c r="D944" s="133"/>
    </row>
    <row r="945" ht="15.75" customHeight="1">
      <c r="D945" s="133"/>
    </row>
    <row r="946" ht="15.75" customHeight="1">
      <c r="D946" s="133"/>
    </row>
    <row r="947" ht="15.75" customHeight="1">
      <c r="D947" s="133"/>
    </row>
    <row r="948" ht="15.75" customHeight="1">
      <c r="D948" s="133"/>
    </row>
    <row r="949" ht="15.75" customHeight="1">
      <c r="D949" s="133"/>
    </row>
    <row r="950" ht="15.75" customHeight="1">
      <c r="D950" s="133"/>
    </row>
    <row r="951" ht="15.75" customHeight="1">
      <c r="D951" s="133"/>
    </row>
    <row r="952" ht="15.75" customHeight="1">
      <c r="D952" s="133"/>
    </row>
    <row r="953" ht="15.75" customHeight="1">
      <c r="D953" s="133"/>
    </row>
    <row r="954" ht="15.75" customHeight="1">
      <c r="D954" s="133"/>
    </row>
    <row r="955" ht="15.75" customHeight="1">
      <c r="D955" s="133"/>
    </row>
    <row r="956" ht="15.75" customHeight="1">
      <c r="D956" s="133"/>
    </row>
    <row r="957" ht="15.75" customHeight="1">
      <c r="D957" s="133"/>
    </row>
    <row r="958" ht="15.75" customHeight="1">
      <c r="D958" s="133"/>
    </row>
    <row r="959" ht="15.75" customHeight="1">
      <c r="D959" s="133"/>
    </row>
    <row r="960" ht="15.75" customHeight="1">
      <c r="D960" s="133"/>
    </row>
    <row r="961" ht="15.75" customHeight="1">
      <c r="D961" s="133"/>
    </row>
    <row r="962" ht="15.75" customHeight="1">
      <c r="D962" s="133"/>
    </row>
    <row r="963" ht="15.75" customHeight="1">
      <c r="D963" s="133"/>
    </row>
    <row r="964" ht="15.75" customHeight="1">
      <c r="D964" s="133"/>
    </row>
    <row r="965" ht="15.75" customHeight="1">
      <c r="D965" s="133"/>
    </row>
    <row r="966" ht="15.75" customHeight="1">
      <c r="D966" s="133"/>
    </row>
    <row r="967" ht="15.75" customHeight="1">
      <c r="D967" s="133"/>
    </row>
    <row r="968" ht="15.75" customHeight="1">
      <c r="D968" s="133"/>
    </row>
    <row r="969" ht="15.75" customHeight="1">
      <c r="D969" s="133"/>
    </row>
    <row r="970" ht="15.75" customHeight="1">
      <c r="D970" s="133"/>
    </row>
    <row r="971" ht="15.75" customHeight="1">
      <c r="D971" s="133"/>
    </row>
    <row r="972" ht="15.75" customHeight="1">
      <c r="D972" s="133"/>
    </row>
    <row r="973" ht="15.75" customHeight="1">
      <c r="D973" s="133"/>
    </row>
    <row r="974" ht="15.75" customHeight="1">
      <c r="D974" s="133"/>
    </row>
    <row r="975" ht="15.75" customHeight="1">
      <c r="D975" s="133"/>
    </row>
    <row r="976" ht="15.75" customHeight="1">
      <c r="D976" s="133"/>
    </row>
    <row r="977" ht="15.75" customHeight="1">
      <c r="D977" s="133"/>
    </row>
    <row r="978" ht="15.75" customHeight="1">
      <c r="D978" s="133"/>
    </row>
    <row r="979" ht="15.75" customHeight="1">
      <c r="D979" s="133"/>
    </row>
    <row r="980" ht="15.75" customHeight="1">
      <c r="D980" s="133"/>
    </row>
    <row r="981" ht="15.75" customHeight="1">
      <c r="D981" s="133"/>
    </row>
    <row r="982" ht="15.75" customHeight="1">
      <c r="D982" s="133"/>
    </row>
    <row r="983" ht="15.75" customHeight="1">
      <c r="D983" s="133"/>
    </row>
    <row r="984" ht="15.75" customHeight="1">
      <c r="D984" s="133"/>
    </row>
    <row r="985" ht="15.75" customHeight="1">
      <c r="D985" s="133"/>
    </row>
    <row r="986" ht="15.75" customHeight="1">
      <c r="D986" s="133"/>
    </row>
    <row r="987" ht="15.75" customHeight="1">
      <c r="D987" s="133"/>
    </row>
    <row r="988" ht="15.75" customHeight="1">
      <c r="D988" s="133"/>
    </row>
    <row r="989" ht="15.75" customHeight="1">
      <c r="D989" s="133"/>
    </row>
    <row r="990" ht="15.75" customHeight="1">
      <c r="D990" s="133"/>
    </row>
    <row r="991" ht="15.75" customHeight="1">
      <c r="D991" s="133"/>
    </row>
    <row r="992" ht="15.75" customHeight="1">
      <c r="D992" s="133"/>
    </row>
    <row r="993" ht="15.75" customHeight="1">
      <c r="D993" s="133"/>
    </row>
    <row r="994" ht="15.75" customHeight="1">
      <c r="D994" s="133"/>
    </row>
    <row r="995" ht="15.75" customHeight="1">
      <c r="D995" s="133"/>
    </row>
    <row r="996" ht="15.75" customHeight="1">
      <c r="D996" s="133"/>
    </row>
    <row r="997" ht="15.75" customHeight="1">
      <c r="D997" s="133"/>
    </row>
    <row r="998" ht="15.75" customHeight="1">
      <c r="D998" s="133"/>
    </row>
    <row r="999" ht="15.75" customHeight="1">
      <c r="D999" s="133"/>
    </row>
    <row r="1000" ht="15.75" customHeight="1">
      <c r="D1000" s="133"/>
    </row>
  </sheetData>
  <mergeCells count="2">
    <mergeCell ref="A1:C1"/>
    <mergeCell ref="E1:F1"/>
  </mergeCells>
  <dataValidations>
    <dataValidation type="list" allowBlank="1" showErrorMessage="1" sqref="C3:D100 D101:D1000">
      <formula1>"〇"</formula1>
    </dataValidation>
  </dataValidation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sheetViews>
  <sheetFormatPr customHeight="1" defaultColWidth="12.63" defaultRowHeight="15.0"/>
  <cols>
    <col customWidth="1" min="1" max="26" width="11.0"/>
  </cols>
  <sheetData>
    <row r="1" ht="15.75" customHeight="1">
      <c r="A1" s="134" t="s">
        <v>384</v>
      </c>
      <c r="M1" s="1"/>
      <c r="N1" s="1"/>
      <c r="O1" s="1"/>
      <c r="P1" s="1"/>
      <c r="Q1" s="1"/>
      <c r="R1" s="1"/>
      <c r="S1" s="1"/>
      <c r="T1" s="1"/>
      <c r="U1" s="1"/>
      <c r="V1" s="1"/>
      <c r="W1" s="1"/>
      <c r="X1" s="1"/>
      <c r="Y1" s="1"/>
      <c r="Z1" s="1"/>
    </row>
    <row r="2" ht="15.75" customHeight="1">
      <c r="A2" s="135" t="s">
        <v>385</v>
      </c>
      <c r="B2" s="69"/>
      <c r="C2" s="69"/>
      <c r="D2" s="69"/>
      <c r="E2" s="69"/>
      <c r="F2" s="69"/>
      <c r="G2" s="69"/>
      <c r="H2" s="69"/>
      <c r="I2" s="69"/>
      <c r="J2" s="69"/>
      <c r="K2" s="69"/>
      <c r="L2" s="24"/>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36" t="s">
        <v>386</v>
      </c>
      <c r="B4" s="137"/>
      <c r="C4" s="138" t="s">
        <v>387</v>
      </c>
      <c r="D4" s="139"/>
      <c r="E4" s="137"/>
      <c r="F4" s="138" t="s">
        <v>388</v>
      </c>
      <c r="G4" s="139"/>
      <c r="H4" s="139"/>
      <c r="I4" s="139"/>
      <c r="J4" s="139"/>
      <c r="K4" s="139"/>
      <c r="L4" s="140"/>
      <c r="M4" s="1"/>
      <c r="N4" s="1"/>
      <c r="O4" s="1"/>
      <c r="P4" s="1"/>
      <c r="Q4" s="1"/>
      <c r="R4" s="1"/>
      <c r="S4" s="1"/>
      <c r="T4" s="1"/>
      <c r="U4" s="1"/>
      <c r="V4" s="1"/>
      <c r="W4" s="1"/>
      <c r="X4" s="1"/>
      <c r="Y4" s="1"/>
      <c r="Z4" s="1"/>
    </row>
    <row r="5" ht="15.75" customHeight="1">
      <c r="A5" s="141" t="s">
        <v>389</v>
      </c>
      <c r="B5" s="142"/>
      <c r="C5" s="143" t="s">
        <v>390</v>
      </c>
      <c r="D5" s="144"/>
      <c r="E5" s="142"/>
      <c r="F5" s="145"/>
      <c r="G5" s="144"/>
      <c r="H5" s="144"/>
      <c r="I5" s="144"/>
      <c r="J5" s="144"/>
      <c r="K5" s="144"/>
      <c r="L5" s="146"/>
      <c r="M5" s="1"/>
      <c r="N5" s="1"/>
      <c r="O5" s="1"/>
      <c r="P5" s="1"/>
      <c r="Q5" s="1"/>
      <c r="R5" s="1"/>
      <c r="S5" s="1"/>
      <c r="T5" s="1"/>
      <c r="U5" s="1"/>
      <c r="V5" s="1"/>
      <c r="W5" s="1"/>
      <c r="X5" s="1"/>
      <c r="Y5" s="1"/>
      <c r="Z5" s="1"/>
    </row>
    <row r="6" ht="15.75" customHeight="1">
      <c r="A6" s="141" t="s">
        <v>391</v>
      </c>
      <c r="B6" s="142"/>
      <c r="C6" s="143" t="s">
        <v>392</v>
      </c>
      <c r="D6" s="144"/>
      <c r="E6" s="142"/>
      <c r="F6" s="145"/>
      <c r="G6" s="144"/>
      <c r="H6" s="144"/>
      <c r="I6" s="144"/>
      <c r="J6" s="144"/>
      <c r="K6" s="144"/>
      <c r="L6" s="146"/>
      <c r="M6" s="1"/>
      <c r="N6" s="1"/>
      <c r="O6" s="1"/>
      <c r="P6" s="1"/>
      <c r="Q6" s="1"/>
      <c r="R6" s="1"/>
      <c r="S6" s="1"/>
      <c r="T6" s="1"/>
      <c r="U6" s="1"/>
      <c r="V6" s="1"/>
      <c r="W6" s="1"/>
      <c r="X6" s="1"/>
      <c r="Y6" s="1"/>
      <c r="Z6" s="1"/>
    </row>
    <row r="7" ht="15.75" customHeight="1">
      <c r="A7" s="141" t="s">
        <v>393</v>
      </c>
      <c r="B7" s="142"/>
      <c r="C7" s="143" t="s">
        <v>394</v>
      </c>
      <c r="D7" s="144"/>
      <c r="E7" s="142"/>
      <c r="F7" s="145"/>
      <c r="G7" s="144"/>
      <c r="H7" s="144"/>
      <c r="I7" s="144"/>
      <c r="J7" s="144"/>
      <c r="K7" s="144"/>
      <c r="L7" s="146"/>
      <c r="M7" s="1"/>
      <c r="N7" s="1"/>
      <c r="O7" s="1"/>
      <c r="P7" s="1"/>
      <c r="Q7" s="1"/>
      <c r="R7" s="1"/>
      <c r="S7" s="1"/>
      <c r="T7" s="1"/>
      <c r="U7" s="1"/>
      <c r="V7" s="1"/>
      <c r="W7" s="1"/>
      <c r="X7" s="1"/>
      <c r="Y7" s="1"/>
      <c r="Z7" s="1"/>
    </row>
    <row r="8" ht="15.75" customHeight="1">
      <c r="A8" s="141" t="s">
        <v>395</v>
      </c>
      <c r="B8" s="142"/>
      <c r="C8" s="143" t="s">
        <v>396</v>
      </c>
      <c r="D8" s="144"/>
      <c r="E8" s="142"/>
      <c r="F8" s="145"/>
      <c r="G8" s="144"/>
      <c r="H8" s="144"/>
      <c r="I8" s="144"/>
      <c r="J8" s="144"/>
      <c r="K8" s="144"/>
      <c r="L8" s="146"/>
      <c r="M8" s="1"/>
      <c r="N8" s="1"/>
      <c r="O8" s="1"/>
      <c r="P8" s="1"/>
      <c r="Q8" s="1"/>
      <c r="R8" s="1"/>
      <c r="S8" s="1"/>
      <c r="T8" s="1"/>
      <c r="U8" s="1"/>
      <c r="V8" s="1"/>
      <c r="W8" s="1"/>
      <c r="X8" s="1"/>
      <c r="Y8" s="1"/>
      <c r="Z8" s="1"/>
    </row>
    <row r="9" ht="15.75" customHeight="1">
      <c r="A9" s="141"/>
      <c r="B9" s="142"/>
      <c r="C9" s="143"/>
      <c r="D9" s="144"/>
      <c r="E9" s="142"/>
      <c r="F9" s="143"/>
      <c r="G9" s="144"/>
      <c r="H9" s="144"/>
      <c r="I9" s="144"/>
      <c r="J9" s="144"/>
      <c r="K9" s="144"/>
      <c r="L9" s="146"/>
      <c r="M9" s="1"/>
      <c r="N9" s="1"/>
      <c r="O9" s="1"/>
      <c r="P9" s="1"/>
      <c r="Q9" s="1"/>
      <c r="R9" s="1"/>
      <c r="S9" s="1"/>
      <c r="T9" s="1"/>
      <c r="U9" s="1"/>
      <c r="V9" s="1"/>
      <c r="W9" s="1"/>
      <c r="X9" s="1"/>
      <c r="Y9" s="1"/>
      <c r="Z9" s="1"/>
    </row>
    <row r="10" ht="15.75" customHeight="1">
      <c r="A10" s="141"/>
      <c r="B10" s="142"/>
      <c r="C10" s="143"/>
      <c r="D10" s="144"/>
      <c r="E10" s="142"/>
      <c r="F10" s="143"/>
      <c r="G10" s="144"/>
      <c r="H10" s="144"/>
      <c r="I10" s="144"/>
      <c r="J10" s="144"/>
      <c r="K10" s="144"/>
      <c r="L10" s="146"/>
      <c r="M10" s="1"/>
      <c r="N10" s="1"/>
      <c r="O10" s="1"/>
      <c r="P10" s="1"/>
      <c r="Q10" s="1"/>
      <c r="R10" s="1"/>
      <c r="S10" s="1"/>
      <c r="T10" s="1"/>
      <c r="U10" s="1"/>
      <c r="V10" s="1"/>
      <c r="W10" s="1"/>
      <c r="X10" s="1"/>
      <c r="Y10" s="1"/>
      <c r="Z10" s="1"/>
    </row>
    <row r="11" ht="15.75" customHeight="1">
      <c r="A11" s="141"/>
      <c r="B11" s="142"/>
      <c r="C11" s="143"/>
      <c r="D11" s="144"/>
      <c r="E11" s="142"/>
      <c r="F11" s="143"/>
      <c r="G11" s="144"/>
      <c r="H11" s="144"/>
      <c r="I11" s="144"/>
      <c r="J11" s="144"/>
      <c r="K11" s="144"/>
      <c r="L11" s="146"/>
      <c r="M11" s="1"/>
      <c r="N11" s="1"/>
      <c r="O11" s="1"/>
      <c r="P11" s="1"/>
      <c r="Q11" s="1"/>
      <c r="R11" s="1"/>
      <c r="S11" s="1"/>
      <c r="T11" s="1"/>
      <c r="U11" s="1"/>
      <c r="V11" s="1"/>
      <c r="W11" s="1"/>
      <c r="X11" s="1"/>
      <c r="Y11" s="1"/>
      <c r="Z11" s="1"/>
    </row>
    <row r="12" ht="15.75" customHeight="1">
      <c r="A12" s="141"/>
      <c r="B12" s="142"/>
      <c r="C12" s="143"/>
      <c r="D12" s="144"/>
      <c r="E12" s="142"/>
      <c r="F12" s="143"/>
      <c r="G12" s="144"/>
      <c r="H12" s="144"/>
      <c r="I12" s="144"/>
      <c r="J12" s="144"/>
      <c r="K12" s="144"/>
      <c r="L12" s="146"/>
      <c r="M12" s="1"/>
      <c r="N12" s="1"/>
      <c r="O12" s="1"/>
      <c r="P12" s="1"/>
      <c r="Q12" s="1"/>
      <c r="R12" s="1"/>
      <c r="S12" s="1"/>
      <c r="T12" s="1"/>
      <c r="U12" s="1"/>
      <c r="V12" s="1"/>
      <c r="W12" s="1"/>
      <c r="X12" s="1"/>
      <c r="Y12" s="1"/>
      <c r="Z12" s="1"/>
    </row>
    <row r="13" ht="15.75" customHeight="1">
      <c r="A13" s="141"/>
      <c r="B13" s="142"/>
      <c r="C13" s="143"/>
      <c r="D13" s="144"/>
      <c r="E13" s="142"/>
      <c r="F13" s="143"/>
      <c r="G13" s="144"/>
      <c r="H13" s="144"/>
      <c r="I13" s="144"/>
      <c r="J13" s="144"/>
      <c r="K13" s="144"/>
      <c r="L13" s="146"/>
      <c r="M13" s="1"/>
      <c r="N13" s="1"/>
      <c r="O13" s="1"/>
      <c r="P13" s="1"/>
      <c r="Q13" s="1"/>
      <c r="R13" s="1"/>
      <c r="S13" s="1"/>
      <c r="T13" s="1"/>
      <c r="U13" s="1"/>
      <c r="V13" s="1"/>
      <c r="W13" s="1"/>
      <c r="X13" s="1"/>
      <c r="Y13" s="1"/>
      <c r="Z13" s="1"/>
    </row>
    <row r="14" ht="15.75" customHeight="1">
      <c r="A14" s="141"/>
      <c r="B14" s="142"/>
      <c r="C14" s="143"/>
      <c r="D14" s="144"/>
      <c r="E14" s="142"/>
      <c r="F14" s="143"/>
      <c r="G14" s="144"/>
      <c r="H14" s="144"/>
      <c r="I14" s="144"/>
      <c r="J14" s="144"/>
      <c r="K14" s="144"/>
      <c r="L14" s="146"/>
      <c r="M14" s="1"/>
      <c r="N14" s="1"/>
      <c r="O14" s="1"/>
      <c r="P14" s="1"/>
      <c r="Q14" s="1"/>
      <c r="R14" s="1"/>
      <c r="S14" s="1"/>
      <c r="T14" s="1"/>
      <c r="U14" s="1"/>
      <c r="V14" s="1"/>
      <c r="W14" s="1"/>
      <c r="X14" s="1"/>
      <c r="Y14" s="1"/>
      <c r="Z14" s="1"/>
    </row>
    <row r="15" ht="15.75" customHeight="1">
      <c r="A15" s="141"/>
      <c r="B15" s="142"/>
      <c r="C15" s="143"/>
      <c r="D15" s="144"/>
      <c r="E15" s="142"/>
      <c r="F15" s="143"/>
      <c r="G15" s="144"/>
      <c r="H15" s="144"/>
      <c r="I15" s="144"/>
      <c r="J15" s="144"/>
      <c r="K15" s="144"/>
      <c r="L15" s="146"/>
      <c r="M15" s="1"/>
      <c r="N15" s="1"/>
      <c r="O15" s="1"/>
      <c r="P15" s="1"/>
      <c r="Q15" s="1"/>
      <c r="R15" s="1"/>
      <c r="S15" s="1"/>
      <c r="T15" s="1"/>
      <c r="U15" s="1"/>
      <c r="V15" s="1"/>
      <c r="W15" s="1"/>
      <c r="X15" s="1"/>
      <c r="Y15" s="1"/>
      <c r="Z15" s="1"/>
    </row>
    <row r="16" ht="15.75" customHeight="1">
      <c r="A16" s="141"/>
      <c r="B16" s="142"/>
      <c r="C16" s="143"/>
      <c r="D16" s="144"/>
      <c r="E16" s="142"/>
      <c r="F16" s="143"/>
      <c r="G16" s="144"/>
      <c r="H16" s="144"/>
      <c r="I16" s="144"/>
      <c r="J16" s="144"/>
      <c r="K16" s="144"/>
      <c r="L16" s="146"/>
      <c r="M16" s="1"/>
      <c r="N16" s="1"/>
      <c r="O16" s="1"/>
      <c r="P16" s="1"/>
      <c r="Q16" s="1"/>
      <c r="R16" s="1"/>
      <c r="S16" s="1"/>
      <c r="T16" s="1"/>
      <c r="U16" s="1"/>
      <c r="V16" s="1"/>
      <c r="W16" s="1"/>
      <c r="X16" s="1"/>
      <c r="Y16" s="1"/>
      <c r="Z16" s="1"/>
    </row>
    <row r="17" ht="15.75" customHeight="1">
      <c r="A17" s="141"/>
      <c r="B17" s="142"/>
      <c r="C17" s="143"/>
      <c r="D17" s="144"/>
      <c r="E17" s="142"/>
      <c r="F17" s="143"/>
      <c r="G17" s="144"/>
      <c r="H17" s="144"/>
      <c r="I17" s="144"/>
      <c r="J17" s="144"/>
      <c r="K17" s="144"/>
      <c r="L17" s="146"/>
      <c r="M17" s="1"/>
      <c r="N17" s="1"/>
      <c r="O17" s="1"/>
      <c r="P17" s="1"/>
      <c r="Q17" s="1"/>
      <c r="R17" s="1"/>
      <c r="S17" s="1"/>
      <c r="T17" s="1"/>
      <c r="U17" s="1"/>
      <c r="V17" s="1"/>
      <c r="W17" s="1"/>
      <c r="X17" s="1"/>
      <c r="Y17" s="1"/>
      <c r="Z17" s="1"/>
    </row>
    <row r="18" ht="15.75" customHeight="1">
      <c r="A18" s="141"/>
      <c r="B18" s="142"/>
      <c r="C18" s="143"/>
      <c r="D18" s="144"/>
      <c r="E18" s="142"/>
      <c r="F18" s="143"/>
      <c r="G18" s="144"/>
      <c r="H18" s="144"/>
      <c r="I18" s="144"/>
      <c r="J18" s="144"/>
      <c r="K18" s="144"/>
      <c r="L18" s="146"/>
      <c r="M18" s="1"/>
      <c r="N18" s="1"/>
      <c r="O18" s="1"/>
      <c r="P18" s="1"/>
      <c r="Q18" s="1"/>
      <c r="R18" s="1"/>
      <c r="S18" s="1"/>
      <c r="T18" s="1"/>
      <c r="U18" s="1"/>
      <c r="V18" s="1"/>
      <c r="W18" s="1"/>
      <c r="X18" s="1"/>
      <c r="Y18" s="1"/>
      <c r="Z18" s="1"/>
    </row>
    <row r="19" ht="15.75" customHeight="1">
      <c r="A19" s="141"/>
      <c r="B19" s="142"/>
      <c r="C19" s="143"/>
      <c r="D19" s="144"/>
      <c r="E19" s="142"/>
      <c r="F19" s="143"/>
      <c r="G19" s="144"/>
      <c r="H19" s="144"/>
      <c r="I19" s="144"/>
      <c r="J19" s="144"/>
      <c r="K19" s="144"/>
      <c r="L19" s="146"/>
      <c r="M19" s="1"/>
      <c r="N19" s="1"/>
      <c r="O19" s="1"/>
      <c r="P19" s="1"/>
      <c r="Q19" s="1"/>
      <c r="R19" s="1"/>
      <c r="S19" s="1"/>
      <c r="T19" s="1"/>
      <c r="U19" s="1"/>
      <c r="V19" s="1"/>
      <c r="W19" s="1"/>
      <c r="X19" s="1"/>
      <c r="Y19" s="1"/>
      <c r="Z19" s="1"/>
    </row>
    <row r="20" ht="15.75" customHeight="1">
      <c r="A20" s="141"/>
      <c r="B20" s="142"/>
      <c r="C20" s="143"/>
      <c r="D20" s="144"/>
      <c r="E20" s="142"/>
      <c r="F20" s="143"/>
      <c r="G20" s="144"/>
      <c r="H20" s="144"/>
      <c r="I20" s="144"/>
      <c r="J20" s="144"/>
      <c r="K20" s="144"/>
      <c r="L20" s="146"/>
      <c r="M20" s="1"/>
      <c r="N20" s="1"/>
      <c r="O20" s="1"/>
      <c r="P20" s="1"/>
      <c r="Q20" s="1"/>
      <c r="R20" s="1"/>
      <c r="S20" s="1"/>
      <c r="T20" s="1"/>
      <c r="U20" s="1"/>
      <c r="V20" s="1"/>
      <c r="W20" s="1"/>
      <c r="X20" s="1"/>
      <c r="Y20" s="1"/>
      <c r="Z20" s="1"/>
    </row>
    <row r="21" ht="15.75" customHeight="1">
      <c r="A21" s="141"/>
      <c r="B21" s="142"/>
      <c r="C21" s="143"/>
      <c r="D21" s="144"/>
      <c r="E21" s="142"/>
      <c r="F21" s="143"/>
      <c r="G21" s="144"/>
      <c r="H21" s="144"/>
      <c r="I21" s="144"/>
      <c r="J21" s="144"/>
      <c r="K21" s="144"/>
      <c r="L21" s="146"/>
      <c r="M21" s="1"/>
      <c r="N21" s="1"/>
      <c r="O21" s="1"/>
      <c r="P21" s="1"/>
      <c r="Q21" s="1"/>
      <c r="R21" s="1"/>
      <c r="S21" s="1"/>
      <c r="T21" s="1"/>
      <c r="U21" s="1"/>
      <c r="V21" s="1"/>
      <c r="W21" s="1"/>
      <c r="X21" s="1"/>
      <c r="Y21" s="1"/>
      <c r="Z21" s="1"/>
    </row>
    <row r="22" ht="15.75" customHeight="1">
      <c r="A22" s="141"/>
      <c r="B22" s="142"/>
      <c r="C22" s="143"/>
      <c r="D22" s="144"/>
      <c r="E22" s="142"/>
      <c r="F22" s="143"/>
      <c r="G22" s="144"/>
      <c r="H22" s="144"/>
      <c r="I22" s="144"/>
      <c r="J22" s="144"/>
      <c r="K22" s="144"/>
      <c r="L22" s="146"/>
      <c r="M22" s="1"/>
      <c r="N22" s="1"/>
      <c r="O22" s="1"/>
      <c r="P22" s="1"/>
      <c r="Q22" s="1"/>
      <c r="R22" s="1"/>
      <c r="S22" s="1"/>
      <c r="T22" s="1"/>
      <c r="U22" s="1"/>
      <c r="V22" s="1"/>
      <c r="W22" s="1"/>
      <c r="X22" s="1"/>
      <c r="Y22" s="1"/>
      <c r="Z22" s="1"/>
    </row>
    <row r="23" ht="15.75" customHeight="1">
      <c r="A23" s="147"/>
      <c r="B23" s="148"/>
      <c r="C23" s="149"/>
      <c r="D23" s="150"/>
      <c r="E23" s="148"/>
      <c r="F23" s="149"/>
      <c r="G23" s="150"/>
      <c r="H23" s="150"/>
      <c r="I23" s="150"/>
      <c r="J23" s="150"/>
      <c r="K23" s="150"/>
      <c r="L23" s="15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2">
    <mergeCell ref="C15:E15"/>
    <mergeCell ref="F15:L15"/>
    <mergeCell ref="A13:B13"/>
    <mergeCell ref="C13:E13"/>
    <mergeCell ref="F13:L13"/>
    <mergeCell ref="A14:B14"/>
    <mergeCell ref="C14:E14"/>
    <mergeCell ref="F14:L14"/>
    <mergeCell ref="A15:B15"/>
    <mergeCell ref="C18:E18"/>
    <mergeCell ref="F18:L18"/>
    <mergeCell ref="A16:B16"/>
    <mergeCell ref="C16:E16"/>
    <mergeCell ref="F16:L16"/>
    <mergeCell ref="A17:B17"/>
    <mergeCell ref="C17:E17"/>
    <mergeCell ref="F17:L17"/>
    <mergeCell ref="A18:B18"/>
    <mergeCell ref="C21:E21"/>
    <mergeCell ref="F21:L21"/>
    <mergeCell ref="A19:B19"/>
    <mergeCell ref="C19:E19"/>
    <mergeCell ref="F19:L19"/>
    <mergeCell ref="A20:B20"/>
    <mergeCell ref="C20:E20"/>
    <mergeCell ref="F20:L20"/>
    <mergeCell ref="A21:B21"/>
    <mergeCell ref="F6:L6"/>
    <mergeCell ref="F7:L7"/>
    <mergeCell ref="F8:L8"/>
    <mergeCell ref="A1:L1"/>
    <mergeCell ref="A2:L2"/>
    <mergeCell ref="A4:B4"/>
    <mergeCell ref="C4:E4"/>
    <mergeCell ref="F4:L4"/>
    <mergeCell ref="C5:E5"/>
    <mergeCell ref="F5:L5"/>
    <mergeCell ref="A9:B9"/>
    <mergeCell ref="C9:E9"/>
    <mergeCell ref="F9:L9"/>
    <mergeCell ref="A5:B5"/>
    <mergeCell ref="A6:B6"/>
    <mergeCell ref="C6:E6"/>
    <mergeCell ref="A7:B7"/>
    <mergeCell ref="C7:E7"/>
    <mergeCell ref="A8:B8"/>
    <mergeCell ref="C8:E8"/>
    <mergeCell ref="C12:E12"/>
    <mergeCell ref="F12:L12"/>
    <mergeCell ref="A10:B10"/>
    <mergeCell ref="C10:E10"/>
    <mergeCell ref="F10:L10"/>
    <mergeCell ref="A11:B11"/>
    <mergeCell ref="C11:E11"/>
    <mergeCell ref="F11:L11"/>
    <mergeCell ref="A12:B12"/>
    <mergeCell ref="A22:B22"/>
    <mergeCell ref="C22:E22"/>
    <mergeCell ref="F22:L22"/>
    <mergeCell ref="A23:B23"/>
    <mergeCell ref="C23:E23"/>
    <mergeCell ref="F23:L2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23.5"/>
    <col customWidth="1" min="4" max="26" width="11.0"/>
  </cols>
  <sheetData>
    <row r="1" ht="15.75" customHeight="1">
      <c r="A1" s="152" t="s">
        <v>397</v>
      </c>
      <c r="B1" s="152" t="s">
        <v>398</v>
      </c>
      <c r="C1" s="153" t="s">
        <v>399</v>
      </c>
    </row>
    <row r="2" ht="15.75" customHeight="1">
      <c r="A2" s="53"/>
      <c r="B2" s="53"/>
      <c r="C2" s="154"/>
    </row>
    <row r="3" ht="15.75" customHeight="1">
      <c r="A3" s="53"/>
      <c r="B3" s="53"/>
      <c r="C3" s="154"/>
    </row>
    <row r="4" ht="15.75" customHeight="1">
      <c r="A4" s="53"/>
      <c r="B4" s="53"/>
      <c r="C4" s="154"/>
    </row>
    <row r="5" ht="15.75" customHeight="1">
      <c r="A5" s="53"/>
      <c r="B5" s="53"/>
      <c r="C5" s="154"/>
    </row>
    <row r="6" ht="15.75" customHeight="1">
      <c r="A6" s="53"/>
      <c r="B6" s="53"/>
      <c r="C6" s="154"/>
    </row>
    <row r="7" ht="15.75" customHeight="1">
      <c r="A7" s="53"/>
      <c r="B7" s="53"/>
      <c r="C7" s="154"/>
    </row>
    <row r="8" ht="15.75" customHeight="1">
      <c r="A8" s="53"/>
      <c r="B8" s="53"/>
      <c r="C8" s="154"/>
    </row>
    <row r="9" ht="15.75" customHeight="1">
      <c r="A9" s="53"/>
      <c r="B9" s="53"/>
      <c r="C9" s="154"/>
    </row>
    <row r="10" ht="15.75" customHeight="1">
      <c r="A10" s="53"/>
      <c r="B10" s="53"/>
      <c r="C10" s="154"/>
    </row>
    <row r="11" ht="15.75" customHeight="1">
      <c r="A11" s="53"/>
      <c r="B11" s="53"/>
      <c r="C11" s="154"/>
    </row>
    <row r="12" ht="15.75" customHeight="1">
      <c r="A12" s="53"/>
      <c r="B12" s="53"/>
      <c r="C12" s="154"/>
    </row>
    <row r="13" ht="15.75" customHeight="1">
      <c r="A13" s="53"/>
      <c r="B13" s="53"/>
      <c r="C13" s="154"/>
    </row>
    <row r="14" ht="15.75" customHeight="1">
      <c r="A14" s="53"/>
      <c r="B14" s="53"/>
      <c r="C14" s="154"/>
    </row>
    <row r="15" ht="15.75" customHeight="1">
      <c r="A15" s="53"/>
      <c r="B15" s="53"/>
      <c r="C15" s="154"/>
    </row>
    <row r="16" ht="15.75" customHeight="1">
      <c r="A16" s="53"/>
      <c r="B16" s="53"/>
      <c r="C16" s="154"/>
    </row>
    <row r="17" ht="15.75" customHeight="1">
      <c r="A17" s="53"/>
      <c r="B17" s="53"/>
      <c r="C17" s="154"/>
    </row>
    <row r="18" ht="15.75" customHeight="1">
      <c r="A18" s="53"/>
      <c r="B18" s="53"/>
      <c r="C18" s="154"/>
    </row>
    <row r="19" ht="15.75" customHeight="1">
      <c r="A19" s="53"/>
      <c r="B19" s="53"/>
      <c r="C19" s="154"/>
    </row>
    <row r="20" ht="15.75" customHeight="1">
      <c r="A20" s="53"/>
      <c r="B20" s="53"/>
      <c r="C20" s="154"/>
    </row>
    <row r="21" ht="15.75" customHeight="1">
      <c r="A21" s="53"/>
      <c r="B21" s="53"/>
      <c r="C21" s="154"/>
    </row>
    <row r="22" ht="15.75" customHeight="1">
      <c r="A22" s="53"/>
      <c r="B22" s="53"/>
      <c r="C22" s="154"/>
    </row>
    <row r="23" ht="15.75" customHeight="1">
      <c r="A23" s="53"/>
      <c r="B23" s="53"/>
      <c r="C23" s="154"/>
    </row>
    <row r="24" ht="15.75" customHeight="1">
      <c r="A24" s="53"/>
      <c r="B24" s="53"/>
      <c r="C24" s="154"/>
    </row>
    <row r="25" ht="15.75" customHeight="1">
      <c r="A25" s="53"/>
      <c r="B25" s="53"/>
      <c r="C25" s="154"/>
    </row>
    <row r="26" ht="15.75" customHeight="1">
      <c r="A26" s="53"/>
      <c r="B26" s="53"/>
      <c r="C26" s="154"/>
    </row>
    <row r="27" ht="15.75" customHeight="1">
      <c r="A27" s="53"/>
      <c r="B27" s="53"/>
      <c r="C27" s="154"/>
    </row>
    <row r="28" ht="15.75" customHeight="1">
      <c r="A28" s="53"/>
      <c r="B28" s="53"/>
      <c r="C28" s="154"/>
    </row>
    <row r="29" ht="15.75" customHeight="1">
      <c r="A29" s="53"/>
      <c r="B29" s="53"/>
      <c r="C29" s="154"/>
    </row>
    <row r="30" ht="15.75" customHeight="1">
      <c r="A30" s="53"/>
      <c r="B30" s="53"/>
      <c r="C30" s="154"/>
    </row>
    <row r="31" ht="15.75" customHeight="1">
      <c r="A31" s="53"/>
      <c r="B31" s="53"/>
      <c r="C31" s="154"/>
    </row>
    <row r="32" ht="15.75" customHeight="1">
      <c r="A32" s="53"/>
      <c r="B32" s="53"/>
      <c r="C32" s="154"/>
    </row>
    <row r="33" ht="15.75" customHeight="1">
      <c r="A33" s="53"/>
      <c r="B33" s="53"/>
      <c r="C33" s="154"/>
    </row>
    <row r="34" ht="15.75" customHeight="1">
      <c r="A34" s="53"/>
      <c r="B34" s="53"/>
      <c r="C34" s="154"/>
    </row>
    <row r="35" ht="15.75" customHeight="1">
      <c r="A35" s="53"/>
      <c r="B35" s="53"/>
      <c r="C35" s="154"/>
    </row>
    <row r="36" ht="15.75" customHeight="1">
      <c r="A36" s="53"/>
      <c r="B36" s="53"/>
      <c r="C36" s="154"/>
    </row>
    <row r="37" ht="15.75" customHeight="1">
      <c r="A37" s="53"/>
      <c r="B37" s="53"/>
      <c r="C37" s="154"/>
    </row>
    <row r="38" ht="15.75" customHeight="1">
      <c r="A38" s="53"/>
      <c r="B38" s="53"/>
      <c r="C38" s="154"/>
    </row>
    <row r="39" ht="15.75" customHeight="1">
      <c r="A39" s="53"/>
      <c r="B39" s="53"/>
      <c r="C39" s="154"/>
    </row>
    <row r="40" ht="15.75" customHeight="1">
      <c r="A40" s="53"/>
      <c r="B40" s="53"/>
      <c r="C40" s="154"/>
    </row>
    <row r="41" ht="15.75" customHeight="1">
      <c r="A41" s="53"/>
      <c r="B41" s="53"/>
      <c r="C41" s="154"/>
    </row>
    <row r="42" ht="15.75" customHeight="1">
      <c r="A42" s="53"/>
      <c r="B42" s="53"/>
      <c r="C42" s="154"/>
    </row>
    <row r="43" ht="15.75" customHeight="1">
      <c r="A43" s="53"/>
      <c r="B43" s="53"/>
      <c r="C43" s="154"/>
    </row>
    <row r="44" ht="15.75" customHeight="1">
      <c r="A44" s="53"/>
      <c r="B44" s="53"/>
      <c r="C44" s="154"/>
    </row>
    <row r="45" ht="15.75" customHeight="1">
      <c r="A45" s="53"/>
      <c r="B45" s="53"/>
      <c r="C45" s="154"/>
    </row>
    <row r="46" ht="15.75" customHeight="1">
      <c r="A46" s="53"/>
      <c r="B46" s="53"/>
      <c r="C46" s="154"/>
    </row>
    <row r="47" ht="15.75" customHeight="1">
      <c r="A47" s="53"/>
      <c r="B47" s="53"/>
      <c r="C47" s="154"/>
    </row>
    <row r="48" ht="15.75" customHeight="1">
      <c r="A48" s="53"/>
      <c r="B48" s="53"/>
      <c r="C48" s="154"/>
    </row>
    <row r="49" ht="15.75" customHeight="1">
      <c r="A49" s="53"/>
      <c r="B49" s="53"/>
      <c r="C49" s="154"/>
    </row>
    <row r="50" ht="15.75" customHeight="1">
      <c r="A50" s="53"/>
      <c r="B50" s="53"/>
      <c r="C50" s="154"/>
    </row>
    <row r="51" ht="15.75" customHeight="1">
      <c r="A51" s="53"/>
      <c r="B51" s="53"/>
      <c r="C51" s="154"/>
    </row>
    <row r="52" ht="15.75" customHeight="1">
      <c r="A52" s="53"/>
      <c r="B52" s="53"/>
      <c r="C52" s="154"/>
    </row>
    <row r="53" ht="15.75" customHeight="1">
      <c r="A53" s="53"/>
      <c r="B53" s="53"/>
      <c r="C53" s="154"/>
    </row>
    <row r="54" ht="15.75" customHeight="1">
      <c r="A54" s="53"/>
      <c r="B54" s="53"/>
      <c r="C54" s="154"/>
    </row>
    <row r="55" ht="15.75" customHeight="1">
      <c r="A55" s="53"/>
      <c r="B55" s="53"/>
      <c r="C55" s="154"/>
    </row>
    <row r="56" ht="15.75" customHeight="1">
      <c r="A56" s="53"/>
      <c r="B56" s="53"/>
      <c r="C56" s="154"/>
    </row>
    <row r="57" ht="15.75" customHeight="1">
      <c r="A57" s="53"/>
      <c r="B57" s="53"/>
      <c r="C57" s="154"/>
    </row>
    <row r="58" ht="15.75" customHeight="1">
      <c r="A58" s="53"/>
      <c r="B58" s="53"/>
      <c r="C58" s="154"/>
    </row>
    <row r="59" ht="15.75" customHeight="1">
      <c r="A59" s="53"/>
      <c r="B59" s="53"/>
      <c r="C59" s="154"/>
    </row>
    <row r="60" ht="15.75" customHeight="1">
      <c r="A60" s="53"/>
      <c r="B60" s="53"/>
      <c r="C60" s="154"/>
    </row>
    <row r="61" ht="15.75" customHeight="1">
      <c r="A61" s="53"/>
      <c r="B61" s="53"/>
      <c r="C61" s="154"/>
    </row>
    <row r="62" ht="15.75" customHeight="1">
      <c r="A62" s="53"/>
      <c r="B62" s="53"/>
      <c r="C62" s="154"/>
    </row>
    <row r="63" ht="15.75" customHeight="1">
      <c r="A63" s="53"/>
      <c r="B63" s="53"/>
      <c r="C63" s="154"/>
    </row>
    <row r="64" ht="15.75" customHeight="1">
      <c r="A64" s="53"/>
      <c r="B64" s="53"/>
      <c r="C64" s="154"/>
    </row>
    <row r="65" ht="15.75" customHeight="1">
      <c r="A65" s="53"/>
      <c r="B65" s="53"/>
      <c r="C65" s="154"/>
    </row>
    <row r="66" ht="15.75" customHeight="1">
      <c r="A66" s="53"/>
      <c r="B66" s="53"/>
      <c r="C66" s="154"/>
    </row>
    <row r="67" ht="15.75" customHeight="1">
      <c r="A67" s="53"/>
      <c r="B67" s="53"/>
      <c r="C67" s="154"/>
    </row>
    <row r="68" ht="15.75" customHeight="1">
      <c r="A68" s="53"/>
      <c r="B68" s="53"/>
      <c r="C68" s="154"/>
    </row>
    <row r="69" ht="15.75" customHeight="1">
      <c r="A69" s="53"/>
      <c r="B69" s="53"/>
      <c r="C69" s="154"/>
    </row>
    <row r="70" ht="15.75" customHeight="1">
      <c r="A70" s="53"/>
      <c r="B70" s="53"/>
      <c r="C70" s="154"/>
    </row>
    <row r="71" ht="15.75" customHeight="1">
      <c r="A71" s="53"/>
      <c r="B71" s="53"/>
      <c r="C71" s="154"/>
    </row>
    <row r="72" ht="15.75" customHeight="1">
      <c r="A72" s="53"/>
      <c r="B72" s="53"/>
      <c r="C72" s="154"/>
    </row>
    <row r="73" ht="15.75" customHeight="1">
      <c r="A73" s="53"/>
      <c r="B73" s="53"/>
      <c r="C73" s="154"/>
    </row>
    <row r="74" ht="15.75" customHeight="1">
      <c r="A74" s="53"/>
      <c r="B74" s="53"/>
      <c r="C74" s="154"/>
    </row>
    <row r="75" ht="15.75" customHeight="1">
      <c r="A75" s="53"/>
      <c r="B75" s="53"/>
      <c r="C75" s="154"/>
    </row>
    <row r="76" ht="15.75" customHeight="1">
      <c r="A76" s="53"/>
      <c r="B76" s="53"/>
      <c r="C76" s="154"/>
    </row>
    <row r="77" ht="15.75" customHeight="1">
      <c r="A77" s="53"/>
      <c r="B77" s="53"/>
      <c r="C77" s="154"/>
    </row>
    <row r="78" ht="15.75" customHeight="1">
      <c r="A78" s="53"/>
      <c r="B78" s="53"/>
      <c r="C78" s="154"/>
    </row>
    <row r="79" ht="15.75" customHeight="1">
      <c r="A79" s="53"/>
      <c r="B79" s="53"/>
      <c r="C79" s="154"/>
    </row>
    <row r="80" ht="15.75" customHeight="1">
      <c r="A80" s="53"/>
      <c r="B80" s="53"/>
      <c r="C80" s="154"/>
    </row>
    <row r="81" ht="15.75" customHeight="1">
      <c r="A81" s="53"/>
      <c r="B81" s="53"/>
      <c r="C81" s="154"/>
    </row>
    <row r="82" ht="15.75" customHeight="1">
      <c r="A82" s="53"/>
      <c r="B82" s="53"/>
      <c r="C82" s="154"/>
    </row>
    <row r="83" ht="15.75" customHeight="1">
      <c r="A83" s="53"/>
      <c r="B83" s="53"/>
      <c r="C83" s="154"/>
    </row>
    <row r="84" ht="15.75" customHeight="1">
      <c r="A84" s="53"/>
      <c r="B84" s="53"/>
      <c r="C84" s="154"/>
    </row>
    <row r="85" ht="15.75" customHeight="1">
      <c r="A85" s="53"/>
      <c r="B85" s="53"/>
      <c r="C85" s="154"/>
    </row>
    <row r="86" ht="15.75" customHeight="1">
      <c r="A86" s="53"/>
      <c r="B86" s="53"/>
      <c r="C86" s="154"/>
    </row>
    <row r="87" ht="15.75" customHeight="1">
      <c r="A87" s="53"/>
      <c r="B87" s="53"/>
      <c r="C87" s="154"/>
    </row>
    <row r="88" ht="15.75" customHeight="1">
      <c r="A88" s="53"/>
      <c r="B88" s="53"/>
      <c r="C88" s="154"/>
    </row>
    <row r="89" ht="15.75" customHeight="1">
      <c r="A89" s="53"/>
      <c r="B89" s="53"/>
      <c r="C89" s="154"/>
    </row>
    <row r="90" ht="15.75" customHeight="1">
      <c r="A90" s="53"/>
      <c r="B90" s="53"/>
      <c r="C90" s="154"/>
    </row>
    <row r="91" ht="15.75" customHeight="1">
      <c r="A91" s="53"/>
      <c r="B91" s="53"/>
      <c r="C91" s="154"/>
    </row>
    <row r="92" ht="15.75" customHeight="1">
      <c r="A92" s="53"/>
      <c r="B92" s="53"/>
      <c r="C92" s="154"/>
    </row>
    <row r="93" ht="15.75" customHeight="1">
      <c r="A93" s="53"/>
      <c r="B93" s="53"/>
      <c r="C93" s="154"/>
    </row>
    <row r="94" ht="15.75" customHeight="1">
      <c r="A94" s="53"/>
      <c r="B94" s="53"/>
      <c r="C94" s="154"/>
    </row>
    <row r="95" ht="15.75" customHeight="1">
      <c r="A95" s="53"/>
      <c r="B95" s="53"/>
      <c r="C95" s="154"/>
    </row>
    <row r="96" ht="15.75" customHeight="1">
      <c r="A96" s="53"/>
      <c r="B96" s="53"/>
      <c r="C96" s="154"/>
    </row>
    <row r="97" ht="15.75" customHeight="1">
      <c r="A97" s="53"/>
      <c r="B97" s="53"/>
      <c r="C97" s="154"/>
    </row>
    <row r="98" ht="15.75" customHeight="1">
      <c r="A98" s="53"/>
      <c r="B98" s="53"/>
      <c r="C98" s="154"/>
    </row>
    <row r="99" ht="15.75" customHeight="1">
      <c r="A99" s="53"/>
      <c r="B99" s="53"/>
      <c r="C99" s="154"/>
    </row>
    <row r="100" ht="15.75" customHeight="1">
      <c r="A100" s="53"/>
      <c r="B100" s="53"/>
      <c r="C100" s="154"/>
    </row>
    <row r="101" ht="15.75" customHeight="1">
      <c r="A101" s="53"/>
      <c r="B101" s="53"/>
      <c r="C101" s="154"/>
    </row>
    <row r="102" ht="15.75" customHeight="1">
      <c r="A102" s="53"/>
      <c r="B102" s="53"/>
      <c r="C102" s="154"/>
    </row>
    <row r="103" ht="15.75" customHeight="1">
      <c r="A103" s="53"/>
      <c r="B103" s="53"/>
      <c r="C103" s="154"/>
    </row>
    <row r="104" ht="15.75" customHeight="1">
      <c r="A104" s="53"/>
      <c r="B104" s="53"/>
      <c r="C104" s="154"/>
    </row>
    <row r="105" ht="15.75" customHeight="1">
      <c r="A105" s="53"/>
      <c r="B105" s="53"/>
      <c r="C105" s="154"/>
    </row>
    <row r="106" ht="15.75" customHeight="1">
      <c r="A106" s="53"/>
      <c r="B106" s="53"/>
      <c r="C106" s="154"/>
    </row>
    <row r="107" ht="15.75" customHeight="1">
      <c r="A107" s="53"/>
      <c r="B107" s="53"/>
      <c r="C107" s="154"/>
    </row>
    <row r="108" ht="15.75" customHeight="1">
      <c r="A108" s="53"/>
      <c r="B108" s="53"/>
      <c r="C108" s="154"/>
    </row>
    <row r="109" ht="15.75" customHeight="1">
      <c r="A109" s="53"/>
      <c r="B109" s="53"/>
      <c r="C109" s="154"/>
    </row>
    <row r="110" ht="15.75" customHeight="1">
      <c r="A110" s="53"/>
      <c r="B110" s="53"/>
      <c r="C110" s="154"/>
    </row>
    <row r="111" ht="15.75" customHeight="1">
      <c r="A111" s="53"/>
      <c r="B111" s="53"/>
      <c r="C111" s="154"/>
    </row>
    <row r="112" ht="15.75" customHeight="1">
      <c r="A112" s="53"/>
      <c r="B112" s="53"/>
      <c r="C112" s="154"/>
    </row>
    <row r="113" ht="15.75" customHeight="1">
      <c r="A113" s="53"/>
      <c r="B113" s="53"/>
      <c r="C113" s="154"/>
    </row>
    <row r="114" ht="15.75" customHeight="1">
      <c r="A114" s="53"/>
      <c r="B114" s="53"/>
      <c r="C114" s="154"/>
    </row>
    <row r="115" ht="15.75" customHeight="1">
      <c r="A115" s="53"/>
      <c r="B115" s="53"/>
      <c r="C115" s="154"/>
    </row>
    <row r="116" ht="15.75" customHeight="1">
      <c r="A116" s="53"/>
      <c r="B116" s="53"/>
      <c r="C116" s="154"/>
    </row>
    <row r="117" ht="15.75" customHeight="1">
      <c r="A117" s="53"/>
      <c r="B117" s="53"/>
      <c r="C117" s="154"/>
    </row>
    <row r="118" ht="15.75" customHeight="1">
      <c r="A118" s="53"/>
      <c r="B118" s="53"/>
      <c r="C118" s="154"/>
    </row>
    <row r="119" ht="15.75" customHeight="1">
      <c r="A119" s="53"/>
      <c r="B119" s="53"/>
      <c r="C119" s="154"/>
    </row>
    <row r="120" ht="15.75" customHeight="1">
      <c r="A120" s="53"/>
      <c r="B120" s="53"/>
      <c r="C120" s="154"/>
    </row>
    <row r="121" ht="15.75" customHeight="1">
      <c r="A121" s="53"/>
      <c r="B121" s="53"/>
      <c r="C121" s="154"/>
    </row>
    <row r="122" ht="15.75" customHeight="1">
      <c r="A122" s="53"/>
      <c r="B122" s="53"/>
      <c r="C122" s="154"/>
    </row>
    <row r="123" ht="15.75" customHeight="1">
      <c r="A123" s="53"/>
      <c r="B123" s="53"/>
      <c r="C123" s="154"/>
    </row>
    <row r="124" ht="15.75" customHeight="1">
      <c r="A124" s="53"/>
      <c r="B124" s="53"/>
      <c r="C124" s="154"/>
    </row>
    <row r="125" ht="15.75" customHeight="1">
      <c r="A125" s="53"/>
      <c r="B125" s="53"/>
      <c r="C125" s="154"/>
    </row>
    <row r="126" ht="15.75" customHeight="1">
      <c r="A126" s="53"/>
      <c r="B126" s="53"/>
      <c r="C126" s="154"/>
    </row>
    <row r="127" ht="15.75" customHeight="1">
      <c r="A127" s="53"/>
      <c r="B127" s="53"/>
      <c r="C127" s="154"/>
    </row>
    <row r="128" ht="15.75" customHeight="1">
      <c r="A128" s="53"/>
      <c r="B128" s="53"/>
      <c r="C128" s="154"/>
    </row>
    <row r="129" ht="15.75" customHeight="1">
      <c r="A129" s="53"/>
      <c r="B129" s="53"/>
      <c r="C129" s="154"/>
    </row>
    <row r="130" ht="15.75" customHeight="1">
      <c r="A130" s="53"/>
      <c r="B130" s="53"/>
      <c r="C130" s="154"/>
    </row>
    <row r="131" ht="15.75" customHeight="1">
      <c r="A131" s="53"/>
      <c r="B131" s="53"/>
      <c r="C131" s="154"/>
    </row>
    <row r="132" ht="15.75" customHeight="1">
      <c r="A132" s="53"/>
      <c r="B132" s="53"/>
      <c r="C132" s="154"/>
    </row>
    <row r="133" ht="15.75" customHeight="1">
      <c r="A133" s="53"/>
      <c r="B133" s="53"/>
      <c r="C133" s="154"/>
    </row>
    <row r="134" ht="15.75" customHeight="1">
      <c r="A134" s="53"/>
      <c r="B134" s="53"/>
      <c r="C134" s="154"/>
    </row>
    <row r="135" ht="15.75" customHeight="1">
      <c r="A135" s="53"/>
      <c r="B135" s="53"/>
      <c r="C135" s="154"/>
    </row>
    <row r="136" ht="15.75" customHeight="1">
      <c r="A136" s="53"/>
      <c r="B136" s="53"/>
      <c r="C136" s="154"/>
    </row>
    <row r="137" ht="15.75" customHeight="1">
      <c r="A137" s="53"/>
      <c r="B137" s="53"/>
      <c r="C137" s="154"/>
    </row>
    <row r="138" ht="15.75" customHeight="1">
      <c r="A138" s="53"/>
      <c r="B138" s="53"/>
      <c r="C138" s="154"/>
    </row>
    <row r="139" ht="15.75" customHeight="1">
      <c r="A139" s="53"/>
      <c r="B139" s="53"/>
      <c r="C139" s="154"/>
    </row>
    <row r="140" ht="15.75" customHeight="1">
      <c r="A140" s="53"/>
      <c r="B140" s="53"/>
      <c r="C140" s="154"/>
    </row>
    <row r="141" ht="15.75" customHeight="1">
      <c r="A141" s="53"/>
      <c r="B141" s="53"/>
      <c r="C141" s="154"/>
    </row>
    <row r="142" ht="15.75" customHeight="1">
      <c r="A142" s="53"/>
      <c r="B142" s="53"/>
      <c r="C142" s="154"/>
    </row>
    <row r="143" ht="15.75" customHeight="1">
      <c r="A143" s="53"/>
      <c r="B143" s="53"/>
      <c r="C143" s="154"/>
    </row>
    <row r="144" ht="15.75" customHeight="1">
      <c r="A144" s="53"/>
      <c r="B144" s="53"/>
      <c r="C144" s="154"/>
    </row>
    <row r="145" ht="15.75" customHeight="1">
      <c r="A145" s="53"/>
      <c r="B145" s="53"/>
      <c r="C145" s="154"/>
    </row>
    <row r="146" ht="15.75" customHeight="1">
      <c r="A146" s="53"/>
      <c r="B146" s="53"/>
      <c r="C146" s="154"/>
    </row>
    <row r="147" ht="15.75" customHeight="1">
      <c r="A147" s="53"/>
      <c r="B147" s="53"/>
      <c r="C147" s="154"/>
    </row>
    <row r="148" ht="15.75" customHeight="1">
      <c r="A148" s="53"/>
      <c r="B148" s="53"/>
      <c r="C148" s="154"/>
    </row>
    <row r="149" ht="15.75" customHeight="1">
      <c r="A149" s="53"/>
      <c r="B149" s="53"/>
      <c r="C149" s="154"/>
    </row>
    <row r="150" ht="15.75" customHeight="1">
      <c r="A150" s="53"/>
      <c r="B150" s="53"/>
      <c r="C150" s="154"/>
    </row>
    <row r="151" ht="15.75" customHeight="1">
      <c r="A151" s="53"/>
      <c r="B151" s="53"/>
      <c r="C151" s="154"/>
    </row>
    <row r="152" ht="15.75" customHeight="1">
      <c r="A152" s="53"/>
      <c r="B152" s="53"/>
      <c r="C152" s="154"/>
    </row>
    <row r="153" ht="15.75" customHeight="1">
      <c r="A153" s="53"/>
      <c r="B153" s="53"/>
      <c r="C153" s="154"/>
    </row>
    <row r="154" ht="15.75" customHeight="1">
      <c r="A154" s="53"/>
      <c r="B154" s="53"/>
      <c r="C154" s="154"/>
    </row>
    <row r="155" ht="15.75" customHeight="1">
      <c r="A155" s="53"/>
      <c r="B155" s="53"/>
      <c r="C155" s="154"/>
    </row>
    <row r="156" ht="15.75" customHeight="1">
      <c r="A156" s="53"/>
      <c r="B156" s="53"/>
      <c r="C156" s="154"/>
    </row>
    <row r="157" ht="15.75" customHeight="1">
      <c r="A157" s="53"/>
      <c r="B157" s="53"/>
      <c r="C157" s="154"/>
    </row>
    <row r="158" ht="15.75" customHeight="1">
      <c r="A158" s="53"/>
      <c r="B158" s="53"/>
      <c r="C158" s="154"/>
    </row>
    <row r="159" ht="15.75" customHeight="1">
      <c r="A159" s="53"/>
      <c r="B159" s="53"/>
      <c r="C159" s="154"/>
    </row>
    <row r="160" ht="15.75" customHeight="1">
      <c r="A160" s="53"/>
      <c r="B160" s="53"/>
      <c r="C160" s="154"/>
    </row>
    <row r="161" ht="15.75" customHeight="1">
      <c r="A161" s="53"/>
      <c r="B161" s="53"/>
      <c r="C161" s="154"/>
    </row>
    <row r="162" ht="15.75" customHeight="1">
      <c r="A162" s="53"/>
      <c r="B162" s="53"/>
      <c r="C162" s="154"/>
    </row>
    <row r="163" ht="15.75" customHeight="1">
      <c r="A163" s="53"/>
      <c r="B163" s="53"/>
      <c r="C163" s="154"/>
    </row>
    <row r="164" ht="15.75" customHeight="1">
      <c r="A164" s="53"/>
      <c r="B164" s="53"/>
      <c r="C164" s="154"/>
    </row>
    <row r="165" ht="15.75" customHeight="1">
      <c r="A165" s="53"/>
      <c r="B165" s="53"/>
      <c r="C165" s="154"/>
    </row>
    <row r="166" ht="15.75" customHeight="1">
      <c r="A166" s="53"/>
      <c r="B166" s="53"/>
      <c r="C166" s="154"/>
    </row>
    <row r="167" ht="15.75" customHeight="1">
      <c r="A167" s="53"/>
      <c r="B167" s="53"/>
      <c r="C167" s="154"/>
    </row>
    <row r="168" ht="15.75" customHeight="1">
      <c r="A168" s="53"/>
      <c r="B168" s="53"/>
      <c r="C168" s="154"/>
    </row>
    <row r="169" ht="15.75" customHeight="1">
      <c r="A169" s="53"/>
      <c r="B169" s="53"/>
      <c r="C169" s="154"/>
    </row>
    <row r="170" ht="15.75" customHeight="1">
      <c r="A170" s="53"/>
      <c r="B170" s="53"/>
      <c r="C170" s="154"/>
    </row>
    <row r="171" ht="15.75" customHeight="1">
      <c r="A171" s="53"/>
      <c r="B171" s="53"/>
      <c r="C171" s="154"/>
    </row>
    <row r="172" ht="15.75" customHeight="1">
      <c r="A172" s="53"/>
      <c r="B172" s="53"/>
      <c r="C172" s="154"/>
    </row>
    <row r="173" ht="15.75" customHeight="1">
      <c r="A173" s="53"/>
      <c r="B173" s="53"/>
      <c r="C173" s="154"/>
    </row>
    <row r="174" ht="15.75" customHeight="1">
      <c r="A174" s="53"/>
      <c r="B174" s="53"/>
      <c r="C174" s="154"/>
    </row>
    <row r="175" ht="15.75" customHeight="1">
      <c r="A175" s="53"/>
      <c r="B175" s="53"/>
      <c r="C175" s="154"/>
    </row>
    <row r="176" ht="15.75" customHeight="1">
      <c r="A176" s="53"/>
      <c r="B176" s="53"/>
      <c r="C176" s="154"/>
    </row>
    <row r="177" ht="15.75" customHeight="1">
      <c r="A177" s="53"/>
      <c r="B177" s="53"/>
      <c r="C177" s="154"/>
    </row>
    <row r="178" ht="15.75" customHeight="1">
      <c r="A178" s="53"/>
      <c r="B178" s="53"/>
      <c r="C178" s="154"/>
    </row>
    <row r="179" ht="15.75" customHeight="1">
      <c r="A179" s="53"/>
      <c r="B179" s="53"/>
      <c r="C179" s="154"/>
    </row>
    <row r="180" ht="15.75" customHeight="1">
      <c r="A180" s="53"/>
      <c r="B180" s="53"/>
      <c r="C180" s="154"/>
    </row>
    <row r="181" ht="15.75" customHeight="1">
      <c r="A181" s="53"/>
      <c r="B181" s="53"/>
      <c r="C181" s="154"/>
    </row>
    <row r="182" ht="15.75" customHeight="1">
      <c r="A182" s="53"/>
      <c r="B182" s="53"/>
      <c r="C182" s="154"/>
    </row>
    <row r="183" ht="15.75" customHeight="1">
      <c r="A183" s="53"/>
      <c r="B183" s="53"/>
      <c r="C183" s="154"/>
    </row>
    <row r="184" ht="15.75" customHeight="1">
      <c r="A184" s="53"/>
      <c r="B184" s="53"/>
      <c r="C184" s="154"/>
    </row>
    <row r="185" ht="15.75" customHeight="1">
      <c r="A185" s="53"/>
      <c r="B185" s="53"/>
      <c r="C185" s="154"/>
    </row>
    <row r="186" ht="15.75" customHeight="1">
      <c r="A186" s="53"/>
      <c r="B186" s="53"/>
      <c r="C186" s="154"/>
    </row>
    <row r="187" ht="15.75" customHeight="1">
      <c r="A187" s="53"/>
      <c r="B187" s="53"/>
      <c r="C187" s="154"/>
    </row>
    <row r="188" ht="15.75" customHeight="1">
      <c r="A188" s="53"/>
      <c r="B188" s="53"/>
      <c r="C188" s="154"/>
    </row>
    <row r="189" ht="15.75" customHeight="1">
      <c r="A189" s="53"/>
      <c r="B189" s="53"/>
      <c r="C189" s="154"/>
    </row>
    <row r="190" ht="15.75" customHeight="1">
      <c r="A190" s="53"/>
      <c r="B190" s="53"/>
      <c r="C190" s="154"/>
    </row>
    <row r="191" ht="15.75" customHeight="1">
      <c r="A191" s="53"/>
      <c r="B191" s="53"/>
      <c r="C191" s="154"/>
    </row>
    <row r="192" ht="15.75" customHeight="1">
      <c r="A192" s="53"/>
      <c r="B192" s="53"/>
      <c r="C192" s="154"/>
    </row>
    <row r="193" ht="15.75" customHeight="1">
      <c r="A193" s="53"/>
      <c r="B193" s="53"/>
      <c r="C193" s="154"/>
    </row>
    <row r="194" ht="15.75" customHeight="1">
      <c r="A194" s="53"/>
      <c r="B194" s="53"/>
      <c r="C194" s="154"/>
    </row>
    <row r="195" ht="15.75" customHeight="1">
      <c r="A195" s="53"/>
      <c r="B195" s="53"/>
      <c r="C195" s="154"/>
    </row>
    <row r="196" ht="15.75" customHeight="1">
      <c r="A196" s="53"/>
      <c r="B196" s="53"/>
      <c r="C196" s="154"/>
    </row>
    <row r="197" ht="15.75" customHeight="1">
      <c r="A197" s="53"/>
      <c r="B197" s="53"/>
      <c r="C197" s="154"/>
    </row>
    <row r="198" ht="15.75" customHeight="1">
      <c r="A198" s="53"/>
      <c r="B198" s="53"/>
      <c r="C198" s="154"/>
    </row>
    <row r="199" ht="15.75" customHeight="1">
      <c r="A199" s="53"/>
      <c r="B199" s="53"/>
      <c r="C199" s="154"/>
    </row>
    <row r="200" ht="15.75" customHeight="1">
      <c r="A200" s="53"/>
      <c r="B200" s="53"/>
      <c r="C200" s="154"/>
    </row>
    <row r="201" ht="15.75" customHeight="1">
      <c r="A201" s="53"/>
      <c r="B201" s="53"/>
      <c r="C201" s="154"/>
    </row>
    <row r="202" ht="15.75" customHeight="1">
      <c r="A202" s="53"/>
      <c r="B202" s="53"/>
      <c r="C202" s="154"/>
    </row>
    <row r="203" ht="15.75" customHeight="1">
      <c r="A203" s="53"/>
      <c r="B203" s="53"/>
      <c r="C203" s="154"/>
    </row>
    <row r="204" ht="15.75" customHeight="1">
      <c r="A204" s="53"/>
      <c r="B204" s="53"/>
      <c r="C204" s="154"/>
    </row>
    <row r="205" ht="15.75" customHeight="1">
      <c r="A205" s="53"/>
      <c r="B205" s="53"/>
      <c r="C205" s="154"/>
    </row>
    <row r="206" ht="15.75" customHeight="1">
      <c r="A206" s="53"/>
      <c r="B206" s="53"/>
      <c r="C206" s="154"/>
    </row>
    <row r="207" ht="15.75" customHeight="1">
      <c r="A207" s="53"/>
      <c r="B207" s="53"/>
      <c r="C207" s="154"/>
    </row>
    <row r="208" ht="15.75" customHeight="1">
      <c r="A208" s="53"/>
      <c r="B208" s="53"/>
      <c r="C208" s="154"/>
    </row>
    <row r="209" ht="15.75" customHeight="1">
      <c r="A209" s="53"/>
      <c r="B209" s="53"/>
      <c r="C209" s="154"/>
    </row>
    <row r="210" ht="15.75" customHeight="1">
      <c r="A210" s="53"/>
      <c r="B210" s="53"/>
      <c r="C210" s="154"/>
    </row>
    <row r="211" ht="15.75" customHeight="1">
      <c r="A211" s="53"/>
      <c r="B211" s="53"/>
      <c r="C211" s="154"/>
    </row>
    <row r="212" ht="15.75" customHeight="1">
      <c r="A212" s="53"/>
      <c r="B212" s="53"/>
      <c r="C212" s="154"/>
    </row>
    <row r="213" ht="15.75" customHeight="1">
      <c r="A213" s="53"/>
      <c r="B213" s="53"/>
      <c r="C213" s="154"/>
    </row>
    <row r="214" ht="15.75" customHeight="1">
      <c r="A214" s="53"/>
      <c r="B214" s="53"/>
      <c r="C214" s="154"/>
    </row>
    <row r="215" ht="15.75" customHeight="1">
      <c r="A215" s="53"/>
      <c r="B215" s="53"/>
      <c r="C215" s="154"/>
    </row>
    <row r="216" ht="15.75" customHeight="1">
      <c r="A216" s="53"/>
      <c r="B216" s="53"/>
      <c r="C216" s="154"/>
    </row>
    <row r="217" ht="15.75" customHeight="1">
      <c r="A217" s="53"/>
      <c r="B217" s="53"/>
      <c r="C217" s="154"/>
    </row>
    <row r="218" ht="15.75" customHeight="1">
      <c r="A218" s="53"/>
      <c r="B218" s="53"/>
      <c r="C218" s="154"/>
    </row>
    <row r="219" ht="15.75" customHeight="1">
      <c r="A219" s="53"/>
      <c r="B219" s="53"/>
      <c r="C219" s="154"/>
    </row>
    <row r="220" ht="15.75" customHeight="1">
      <c r="A220" s="53"/>
      <c r="B220" s="53"/>
      <c r="C220" s="15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13"/>
    <col customWidth="1" min="2" max="2" width="8.13"/>
    <col customWidth="1" min="3" max="3" width="8.88"/>
    <col customWidth="1" min="4" max="4" width="7.13"/>
    <col customWidth="1" min="5" max="26" width="11.0"/>
  </cols>
  <sheetData>
    <row r="1" ht="12.75" customHeight="1">
      <c r="A1" s="155" t="s">
        <v>400</v>
      </c>
      <c r="B1" s="155" t="s">
        <v>401</v>
      </c>
      <c r="C1" s="155" t="s">
        <v>402</v>
      </c>
      <c r="D1" s="155" t="s">
        <v>403</v>
      </c>
      <c r="E1" s="155" t="s">
        <v>404</v>
      </c>
      <c r="F1" s="156" t="s">
        <v>405</v>
      </c>
    </row>
    <row r="2" ht="12.75" customHeight="1">
      <c r="A2" s="157"/>
      <c r="B2" s="158"/>
      <c r="C2" s="155"/>
      <c r="D2" s="155"/>
      <c r="E2" s="159"/>
      <c r="F2" s="160"/>
    </row>
    <row r="3" ht="12.75" customHeight="1">
      <c r="A3" s="157"/>
      <c r="B3" s="158"/>
      <c r="C3" s="155"/>
      <c r="D3" s="155"/>
      <c r="E3" s="158"/>
      <c r="F3" s="160"/>
    </row>
    <row r="4" ht="12.75" customHeight="1">
      <c r="A4" s="157"/>
      <c r="B4" s="158"/>
      <c r="C4" s="155"/>
      <c r="D4" s="155"/>
      <c r="E4" s="158"/>
      <c r="F4" s="160"/>
    </row>
    <row r="5" ht="12.75" customHeight="1">
      <c r="A5" s="157"/>
      <c r="B5" s="158"/>
      <c r="C5" s="155"/>
      <c r="D5" s="155"/>
      <c r="E5" s="158"/>
      <c r="F5" s="160"/>
    </row>
    <row r="6" ht="12.75" customHeight="1">
      <c r="A6" s="157"/>
      <c r="B6" s="158"/>
      <c r="C6" s="155"/>
      <c r="D6" s="155"/>
      <c r="E6" s="158"/>
      <c r="F6" s="160"/>
    </row>
    <row r="7" ht="12.75" customHeight="1">
      <c r="A7" s="157"/>
      <c r="B7" s="158"/>
      <c r="C7" s="155"/>
      <c r="D7" s="155"/>
      <c r="E7" s="158"/>
      <c r="F7" s="160"/>
    </row>
    <row r="8" ht="12.75" customHeight="1">
      <c r="A8" s="157"/>
      <c r="B8" s="158"/>
      <c r="C8" s="155"/>
      <c r="D8" s="155"/>
      <c r="E8" s="158"/>
      <c r="F8" s="160"/>
    </row>
    <row r="9" ht="12.75" customHeight="1">
      <c r="A9" s="157"/>
      <c r="B9" s="158"/>
      <c r="C9" s="155"/>
      <c r="D9" s="155"/>
      <c r="E9" s="158"/>
      <c r="F9" s="160"/>
    </row>
    <row r="10" ht="12.75" customHeight="1">
      <c r="A10" s="155"/>
      <c r="B10" s="158"/>
      <c r="C10" s="155"/>
      <c r="D10" s="155"/>
      <c r="E10" s="158"/>
      <c r="F10" s="160"/>
    </row>
    <row r="11" ht="12.75" customHeight="1">
      <c r="A11" s="155"/>
      <c r="B11" s="158"/>
      <c r="C11" s="155"/>
      <c r="D11" s="155"/>
      <c r="E11" s="158"/>
      <c r="F11" s="160"/>
    </row>
    <row r="12" ht="12.75" customHeight="1">
      <c r="A12" s="155"/>
      <c r="B12" s="158"/>
      <c r="C12" s="155"/>
      <c r="D12" s="155"/>
      <c r="E12" s="158"/>
      <c r="F12" s="160"/>
    </row>
    <row r="13" ht="12.75" customHeight="1">
      <c r="A13" s="155"/>
      <c r="B13" s="158"/>
      <c r="C13" s="155"/>
      <c r="D13" s="155"/>
      <c r="E13" s="158"/>
      <c r="F13" s="160"/>
    </row>
    <row r="14" ht="12.75" customHeight="1">
      <c r="A14" s="155"/>
      <c r="B14" s="158"/>
      <c r="C14" s="155"/>
      <c r="D14" s="155"/>
      <c r="E14" s="158"/>
      <c r="F14" s="160"/>
    </row>
    <row r="15" ht="12.75" customHeight="1">
      <c r="A15" s="155"/>
      <c r="B15" s="158"/>
      <c r="C15" s="155"/>
      <c r="D15" s="155"/>
      <c r="E15" s="158"/>
      <c r="F15" s="160"/>
    </row>
    <row r="16" ht="12.75" customHeight="1">
      <c r="A16" s="155"/>
      <c r="B16" s="158"/>
      <c r="C16" s="155"/>
      <c r="D16" s="155"/>
      <c r="E16" s="158"/>
      <c r="F16" s="160"/>
    </row>
    <row r="17" ht="12.75" customHeight="1">
      <c r="A17" s="155"/>
      <c r="B17" s="158"/>
      <c r="C17" s="155"/>
      <c r="D17" s="155"/>
      <c r="E17" s="158"/>
      <c r="F17" s="160"/>
    </row>
    <row r="18" ht="12.75" customHeight="1">
      <c r="A18" s="155"/>
      <c r="B18" s="158"/>
      <c r="C18" s="155"/>
      <c r="D18" s="155"/>
      <c r="E18" s="158"/>
      <c r="F18" s="160"/>
    </row>
    <row r="19" ht="12.75" customHeight="1">
      <c r="A19" s="155"/>
      <c r="B19" s="158"/>
      <c r="C19" s="155"/>
      <c r="D19" s="155"/>
      <c r="E19" s="158"/>
      <c r="F19" s="160"/>
    </row>
    <row r="20" ht="12.75" customHeight="1">
      <c r="A20" s="155"/>
      <c r="B20" s="158"/>
      <c r="C20" s="155"/>
      <c r="D20" s="155"/>
      <c r="E20" s="158"/>
      <c r="F20" s="160"/>
    </row>
    <row r="21" ht="12.75" customHeight="1">
      <c r="A21" s="155"/>
      <c r="B21" s="158"/>
      <c r="C21" s="155"/>
      <c r="D21" s="155"/>
      <c r="E21" s="158"/>
      <c r="F21" s="160"/>
    </row>
    <row r="22" ht="12.75" customHeight="1">
      <c r="A22" s="155"/>
      <c r="B22" s="158"/>
      <c r="C22" s="155"/>
      <c r="D22" s="155"/>
      <c r="E22" s="158"/>
      <c r="F22" s="160"/>
    </row>
    <row r="23" ht="12.75" customHeight="1">
      <c r="A23" s="155"/>
      <c r="B23" s="158"/>
      <c r="C23" s="155"/>
      <c r="D23" s="155"/>
      <c r="E23" s="158"/>
      <c r="F23" s="160"/>
    </row>
    <row r="24" ht="12.75" customHeight="1">
      <c r="A24" s="155"/>
      <c r="B24" s="158"/>
      <c r="C24" s="155"/>
      <c r="D24" s="155"/>
      <c r="E24" s="158"/>
      <c r="F24" s="160"/>
    </row>
    <row r="25" ht="12.75" customHeight="1">
      <c r="A25" s="155"/>
      <c r="B25" s="158"/>
      <c r="C25" s="155"/>
      <c r="D25" s="155"/>
      <c r="E25" s="158"/>
      <c r="F25" s="160"/>
    </row>
    <row r="26" ht="12.75" customHeight="1">
      <c r="A26" s="155"/>
      <c r="B26" s="158"/>
      <c r="C26" s="155"/>
      <c r="D26" s="155"/>
      <c r="E26" s="158"/>
      <c r="F26" s="160"/>
    </row>
    <row r="27" ht="12.75" customHeight="1">
      <c r="A27" s="155"/>
      <c r="B27" s="158"/>
      <c r="C27" s="155"/>
      <c r="D27" s="155"/>
      <c r="E27" s="158"/>
      <c r="F27" s="160"/>
    </row>
    <row r="28" ht="12.75" customHeight="1">
      <c r="A28" s="155"/>
      <c r="B28" s="158"/>
      <c r="C28" s="155"/>
      <c r="D28" s="155"/>
      <c r="E28" s="158"/>
      <c r="F28" s="160"/>
    </row>
    <row r="29" ht="12.75" customHeight="1">
      <c r="A29" s="155"/>
      <c r="B29" s="158"/>
      <c r="C29" s="155"/>
      <c r="D29" s="155"/>
      <c r="E29" s="158"/>
      <c r="F29" s="160"/>
    </row>
    <row r="30" ht="12.75" customHeight="1">
      <c r="A30" s="155"/>
      <c r="B30" s="158"/>
      <c r="C30" s="155"/>
      <c r="D30" s="155"/>
      <c r="E30" s="158"/>
      <c r="F30" s="160"/>
    </row>
    <row r="31" ht="12.75" customHeight="1">
      <c r="A31" s="155"/>
      <c r="B31" s="158"/>
      <c r="C31" s="155"/>
      <c r="D31" s="155"/>
      <c r="E31" s="158"/>
      <c r="F31" s="160"/>
    </row>
    <row r="32" ht="12.75" customHeight="1">
      <c r="A32" s="155"/>
      <c r="B32" s="158"/>
      <c r="C32" s="155"/>
      <c r="D32" s="155"/>
      <c r="E32" s="158"/>
      <c r="F32" s="160"/>
    </row>
    <row r="33" ht="12.75" customHeight="1">
      <c r="A33" s="155"/>
      <c r="B33" s="158"/>
      <c r="C33" s="155"/>
      <c r="D33" s="155"/>
      <c r="E33" s="158"/>
      <c r="F33" s="160"/>
    </row>
    <row r="34" ht="12.75" customHeight="1">
      <c r="A34" s="155"/>
      <c r="B34" s="158"/>
      <c r="C34" s="155"/>
      <c r="D34" s="155"/>
      <c r="E34" s="158"/>
      <c r="F34" s="160"/>
    </row>
    <row r="35" ht="12.75" customHeight="1">
      <c r="A35" s="155"/>
      <c r="B35" s="158"/>
      <c r="C35" s="155"/>
      <c r="D35" s="155"/>
      <c r="E35" s="158"/>
      <c r="F35" s="160"/>
    </row>
    <row r="36" ht="12.75" customHeight="1">
      <c r="A36" s="155"/>
      <c r="B36" s="158"/>
      <c r="C36" s="155"/>
      <c r="D36" s="155"/>
      <c r="E36" s="158"/>
      <c r="F36" s="160"/>
    </row>
    <row r="37" ht="12.75" customHeight="1">
      <c r="A37" s="155"/>
      <c r="B37" s="158"/>
      <c r="C37" s="155"/>
      <c r="D37" s="155"/>
      <c r="E37" s="158"/>
      <c r="F37" s="160"/>
    </row>
    <row r="38" ht="12.75" customHeight="1">
      <c r="A38" s="155"/>
      <c r="B38" s="158"/>
      <c r="C38" s="155"/>
      <c r="D38" s="155"/>
      <c r="E38" s="158"/>
      <c r="F38" s="160"/>
    </row>
    <row r="39" ht="12.75" customHeight="1">
      <c r="A39" s="155"/>
      <c r="B39" s="158"/>
      <c r="C39" s="155"/>
      <c r="D39" s="155"/>
      <c r="E39" s="158"/>
      <c r="F39" s="160"/>
    </row>
    <row r="40" ht="12.75" customHeight="1">
      <c r="A40" s="155"/>
      <c r="B40" s="158"/>
      <c r="C40" s="155"/>
      <c r="D40" s="155"/>
      <c r="E40" s="158"/>
      <c r="F40" s="160"/>
    </row>
    <row r="41" ht="12.75" customHeight="1">
      <c r="A41" s="155"/>
      <c r="B41" s="158"/>
      <c r="C41" s="155"/>
      <c r="D41" s="155"/>
      <c r="E41" s="158"/>
      <c r="F41" s="160"/>
    </row>
    <row r="42" ht="12.75" customHeight="1">
      <c r="A42" s="155"/>
      <c r="B42" s="158"/>
      <c r="C42" s="155"/>
      <c r="D42" s="155"/>
      <c r="E42" s="158"/>
      <c r="F42" s="160"/>
    </row>
    <row r="43" ht="12.75" customHeight="1">
      <c r="A43" s="155"/>
      <c r="B43" s="158"/>
      <c r="C43" s="155"/>
      <c r="D43" s="155"/>
      <c r="E43" s="158"/>
      <c r="F43" s="160"/>
    </row>
    <row r="44" ht="12.75" customHeight="1">
      <c r="A44" s="155"/>
      <c r="B44" s="158"/>
      <c r="C44" s="155"/>
      <c r="D44" s="155"/>
      <c r="E44" s="158"/>
      <c r="F44" s="160"/>
    </row>
    <row r="45" ht="12.75" customHeight="1">
      <c r="A45" s="155"/>
      <c r="B45" s="158"/>
      <c r="C45" s="155"/>
      <c r="D45" s="155"/>
      <c r="E45" s="158"/>
      <c r="F45" s="160"/>
    </row>
    <row r="46" ht="12.75" customHeight="1">
      <c r="A46" s="155"/>
      <c r="B46" s="158"/>
      <c r="C46" s="155"/>
      <c r="D46" s="155"/>
      <c r="E46" s="158"/>
      <c r="F46" s="160"/>
    </row>
    <row r="47" ht="12.75" customHeight="1">
      <c r="A47" s="155"/>
      <c r="B47" s="158"/>
      <c r="C47" s="155"/>
      <c r="D47" s="155"/>
      <c r="E47" s="158"/>
      <c r="F47" s="160"/>
    </row>
    <row r="48" ht="12.75" customHeight="1">
      <c r="A48" s="155"/>
      <c r="B48" s="158"/>
      <c r="C48" s="155"/>
      <c r="D48" s="155"/>
      <c r="E48" s="158"/>
      <c r="F48" s="160"/>
    </row>
    <row r="49" ht="12.75" customHeight="1">
      <c r="A49" s="155"/>
      <c r="B49" s="158"/>
      <c r="C49" s="155"/>
      <c r="D49" s="155"/>
      <c r="E49" s="158"/>
      <c r="F49" s="160"/>
    </row>
    <row r="50" ht="12.75" customHeight="1">
      <c r="A50" s="155"/>
      <c r="B50" s="158"/>
      <c r="C50" s="155"/>
      <c r="D50" s="155"/>
      <c r="E50" s="158"/>
      <c r="F50" s="160"/>
    </row>
    <row r="51" ht="12.75" customHeight="1">
      <c r="A51" s="155"/>
      <c r="B51" s="158"/>
      <c r="C51" s="155"/>
      <c r="D51" s="155"/>
      <c r="E51" s="158"/>
      <c r="F51" s="160"/>
    </row>
    <row r="52" ht="12.75" customHeight="1">
      <c r="A52" s="155"/>
      <c r="B52" s="158"/>
      <c r="C52" s="155"/>
      <c r="D52" s="155"/>
      <c r="E52" s="158"/>
      <c r="F52" s="160"/>
    </row>
    <row r="53" ht="12.75" customHeight="1">
      <c r="A53" s="155"/>
      <c r="B53" s="158"/>
      <c r="C53" s="155"/>
      <c r="D53" s="155"/>
      <c r="E53" s="158"/>
      <c r="F53" s="160"/>
    </row>
    <row r="54" ht="12.75" customHeight="1">
      <c r="A54" s="155"/>
      <c r="B54" s="158"/>
      <c r="C54" s="155"/>
      <c r="D54" s="155"/>
      <c r="E54" s="158"/>
      <c r="F54" s="160"/>
    </row>
    <row r="55" ht="12.75" customHeight="1">
      <c r="A55" s="155"/>
      <c r="B55" s="158"/>
      <c r="C55" s="155"/>
      <c r="D55" s="155"/>
      <c r="E55" s="158"/>
      <c r="F55" s="160"/>
    </row>
    <row r="56" ht="12.75" customHeight="1">
      <c r="A56" s="155"/>
      <c r="B56" s="158"/>
      <c r="C56" s="155"/>
      <c r="D56" s="155"/>
      <c r="E56" s="158"/>
      <c r="F56" s="160"/>
    </row>
    <row r="57" ht="12.75" customHeight="1">
      <c r="A57" s="155"/>
      <c r="B57" s="158"/>
      <c r="C57" s="155"/>
      <c r="D57" s="155"/>
      <c r="E57" s="158"/>
      <c r="F57" s="160"/>
    </row>
    <row r="58" ht="12.75" customHeight="1">
      <c r="A58" s="155"/>
      <c r="B58" s="158"/>
      <c r="C58" s="155"/>
      <c r="D58" s="155"/>
      <c r="E58" s="158"/>
      <c r="F58" s="160"/>
    </row>
    <row r="59" ht="12.75" customHeight="1">
      <c r="A59" s="155"/>
      <c r="B59" s="158"/>
      <c r="C59" s="155"/>
      <c r="D59" s="155"/>
      <c r="E59" s="158"/>
      <c r="F59" s="160"/>
    </row>
    <row r="60" ht="12.75" customHeight="1">
      <c r="A60" s="155"/>
      <c r="B60" s="158"/>
      <c r="C60" s="155"/>
      <c r="D60" s="155"/>
      <c r="E60" s="158"/>
      <c r="F60" s="160"/>
    </row>
    <row r="61" ht="12.75" customHeight="1">
      <c r="A61" s="155"/>
      <c r="B61" s="158"/>
      <c r="C61" s="155"/>
      <c r="D61" s="155"/>
      <c r="E61" s="158"/>
      <c r="F61" s="160"/>
    </row>
    <row r="62" ht="12.75" customHeight="1">
      <c r="A62" s="155"/>
      <c r="B62" s="158"/>
      <c r="C62" s="155"/>
      <c r="D62" s="155"/>
      <c r="E62" s="158"/>
      <c r="F62" s="160"/>
    </row>
    <row r="63" ht="12.75" customHeight="1">
      <c r="A63" s="155"/>
      <c r="B63" s="158"/>
      <c r="C63" s="155"/>
      <c r="D63" s="155"/>
      <c r="E63" s="158"/>
      <c r="F63" s="160"/>
    </row>
    <row r="64" ht="12.75" customHeight="1">
      <c r="A64" s="155"/>
      <c r="B64" s="158"/>
      <c r="C64" s="155"/>
      <c r="D64" s="155"/>
      <c r="E64" s="158"/>
      <c r="F64" s="160"/>
    </row>
    <row r="65" ht="12.75" customHeight="1">
      <c r="A65" s="155"/>
      <c r="B65" s="158"/>
      <c r="C65" s="155"/>
      <c r="D65" s="155"/>
      <c r="E65" s="158"/>
      <c r="F65" s="160"/>
    </row>
    <row r="66" ht="12.75" customHeight="1">
      <c r="A66" s="155"/>
      <c r="B66" s="158"/>
      <c r="C66" s="155"/>
      <c r="D66" s="155"/>
      <c r="E66" s="158"/>
      <c r="F66" s="160"/>
    </row>
    <row r="67" ht="12.75" customHeight="1">
      <c r="A67" s="155"/>
      <c r="B67" s="158"/>
      <c r="C67" s="155"/>
      <c r="D67" s="155"/>
      <c r="E67" s="158"/>
      <c r="F67" s="160"/>
    </row>
    <row r="68" ht="12.75" customHeight="1">
      <c r="A68" s="155"/>
      <c r="B68" s="158"/>
      <c r="C68" s="155"/>
      <c r="D68" s="155"/>
      <c r="E68" s="158"/>
      <c r="F68" s="160"/>
    </row>
    <row r="69" ht="12.75" customHeight="1">
      <c r="A69" s="155"/>
      <c r="B69" s="158"/>
      <c r="C69" s="155"/>
      <c r="D69" s="155"/>
      <c r="E69" s="158"/>
      <c r="F69" s="160"/>
    </row>
    <row r="70" ht="12.75" customHeight="1">
      <c r="A70" s="155"/>
      <c r="B70" s="158"/>
      <c r="C70" s="155"/>
      <c r="D70" s="155"/>
      <c r="E70" s="158"/>
      <c r="F70" s="160"/>
    </row>
    <row r="71" ht="12.75" customHeight="1">
      <c r="A71" s="155"/>
      <c r="B71" s="158"/>
      <c r="C71" s="155"/>
      <c r="D71" s="155"/>
      <c r="E71" s="158"/>
      <c r="F71" s="160"/>
    </row>
    <row r="72" ht="12.75" customHeight="1">
      <c r="A72" s="155"/>
      <c r="B72" s="158"/>
      <c r="C72" s="155"/>
      <c r="D72" s="155"/>
      <c r="E72" s="158"/>
      <c r="F72" s="160"/>
    </row>
    <row r="73" ht="12.75" customHeight="1">
      <c r="A73" s="155"/>
      <c r="B73" s="158"/>
      <c r="C73" s="155"/>
      <c r="D73" s="155"/>
      <c r="E73" s="158"/>
      <c r="F73" s="160"/>
    </row>
    <row r="74" ht="12.75" customHeight="1">
      <c r="A74" s="155"/>
      <c r="B74" s="158"/>
      <c r="C74" s="155"/>
      <c r="D74" s="155"/>
      <c r="E74" s="158"/>
      <c r="F74" s="160"/>
    </row>
    <row r="75" ht="12.75" customHeight="1">
      <c r="A75" s="155"/>
      <c r="B75" s="158"/>
      <c r="C75" s="155"/>
      <c r="D75" s="155"/>
      <c r="E75" s="158"/>
      <c r="F75" s="160"/>
    </row>
    <row r="76" ht="12.75" customHeight="1">
      <c r="A76" s="155"/>
      <c r="B76" s="158"/>
      <c r="C76" s="155"/>
      <c r="D76" s="155"/>
      <c r="E76" s="158"/>
      <c r="F76" s="160"/>
    </row>
    <row r="77" ht="12.75" customHeight="1">
      <c r="A77" s="155"/>
      <c r="B77" s="158"/>
      <c r="C77" s="155"/>
      <c r="D77" s="155"/>
      <c r="E77" s="158"/>
      <c r="F77" s="160"/>
    </row>
    <row r="78" ht="12.75" customHeight="1">
      <c r="A78" s="155"/>
      <c r="B78" s="158"/>
      <c r="C78" s="155"/>
      <c r="D78" s="155"/>
      <c r="E78" s="158"/>
      <c r="F78" s="160"/>
    </row>
    <row r="79" ht="12.75" customHeight="1">
      <c r="A79" s="155"/>
      <c r="B79" s="158"/>
      <c r="C79" s="155"/>
      <c r="D79" s="155"/>
      <c r="E79" s="158"/>
      <c r="F79" s="160"/>
    </row>
    <row r="80" ht="12.75" customHeight="1">
      <c r="A80" s="155"/>
      <c r="B80" s="158"/>
      <c r="C80" s="155"/>
      <c r="D80" s="155"/>
      <c r="E80" s="158"/>
      <c r="F80" s="160"/>
    </row>
    <row r="81" ht="12.75" customHeight="1">
      <c r="A81" s="155"/>
      <c r="B81" s="158"/>
      <c r="C81" s="155"/>
      <c r="D81" s="155"/>
      <c r="E81" s="158"/>
      <c r="F81" s="160"/>
    </row>
    <row r="82" ht="12.75" customHeight="1">
      <c r="A82" s="155"/>
      <c r="B82" s="158"/>
      <c r="C82" s="155"/>
      <c r="D82" s="155"/>
      <c r="E82" s="158"/>
      <c r="F82" s="160"/>
    </row>
    <row r="83" ht="12.75" customHeight="1">
      <c r="A83" s="155"/>
      <c r="B83" s="158"/>
      <c r="C83" s="155"/>
      <c r="D83" s="155"/>
      <c r="E83" s="158"/>
      <c r="F83" s="160"/>
    </row>
    <row r="84" ht="12.75" customHeight="1">
      <c r="A84" s="155"/>
      <c r="B84" s="158"/>
      <c r="C84" s="155"/>
      <c r="D84" s="155"/>
      <c r="E84" s="158"/>
      <c r="F84" s="160"/>
    </row>
    <row r="85" ht="12.75" customHeight="1">
      <c r="A85" s="155"/>
      <c r="B85" s="158"/>
      <c r="C85" s="155"/>
      <c r="D85" s="155"/>
      <c r="E85" s="158"/>
      <c r="F85" s="160"/>
    </row>
    <row r="86" ht="12.75" customHeight="1">
      <c r="A86" s="155"/>
      <c r="B86" s="158"/>
      <c r="C86" s="155"/>
      <c r="D86" s="155"/>
      <c r="E86" s="158"/>
      <c r="F86" s="160"/>
    </row>
    <row r="87" ht="12.75" customHeight="1">
      <c r="A87" s="155"/>
      <c r="B87" s="158"/>
      <c r="C87" s="155"/>
      <c r="D87" s="155"/>
      <c r="E87" s="158"/>
      <c r="F87" s="160"/>
    </row>
    <row r="88" ht="12.75" customHeight="1">
      <c r="A88" s="155"/>
      <c r="B88" s="158"/>
      <c r="C88" s="155"/>
      <c r="D88" s="155"/>
      <c r="E88" s="158"/>
      <c r="F88" s="160"/>
    </row>
    <row r="89" ht="12.75" customHeight="1">
      <c r="A89" s="155"/>
      <c r="B89" s="158"/>
      <c r="C89" s="155"/>
      <c r="D89" s="155"/>
      <c r="E89" s="158"/>
      <c r="F89" s="160"/>
    </row>
    <row r="90" ht="12.75" customHeight="1">
      <c r="A90" s="155"/>
      <c r="B90" s="158"/>
      <c r="C90" s="155"/>
      <c r="D90" s="155"/>
      <c r="E90" s="158"/>
      <c r="F90" s="160"/>
    </row>
    <row r="91" ht="12.75" customHeight="1">
      <c r="A91" s="155"/>
      <c r="B91" s="158"/>
      <c r="C91" s="155"/>
      <c r="D91" s="155"/>
      <c r="E91" s="158"/>
      <c r="F91" s="160"/>
    </row>
    <row r="92" ht="12.75" customHeight="1">
      <c r="A92" s="155"/>
      <c r="B92" s="158"/>
      <c r="C92" s="155"/>
      <c r="D92" s="155"/>
      <c r="E92" s="158"/>
      <c r="F92" s="160"/>
    </row>
    <row r="93" ht="12.75" customHeight="1">
      <c r="A93" s="155"/>
      <c r="B93" s="158"/>
      <c r="C93" s="155"/>
      <c r="D93" s="155"/>
      <c r="E93" s="158"/>
      <c r="F93" s="160"/>
    </row>
    <row r="94" ht="12.75" customHeight="1">
      <c r="A94" s="155"/>
      <c r="B94" s="158"/>
      <c r="C94" s="155"/>
      <c r="D94" s="155"/>
      <c r="E94" s="158"/>
      <c r="F94" s="160"/>
    </row>
    <row r="95" ht="12.75" customHeight="1">
      <c r="A95" s="155"/>
      <c r="B95" s="158"/>
      <c r="C95" s="155"/>
      <c r="D95" s="155"/>
      <c r="E95" s="158"/>
      <c r="F95" s="160"/>
    </row>
    <row r="96" ht="12.75" customHeight="1">
      <c r="A96" s="155"/>
      <c r="B96" s="158"/>
      <c r="C96" s="155"/>
      <c r="D96" s="155"/>
      <c r="E96" s="158"/>
      <c r="F96" s="160"/>
    </row>
    <row r="97" ht="12.75" customHeight="1">
      <c r="A97" s="155"/>
      <c r="B97" s="158"/>
      <c r="C97" s="155"/>
      <c r="D97" s="155"/>
      <c r="E97" s="158"/>
      <c r="F97" s="160"/>
    </row>
    <row r="98" ht="12.75" customHeight="1">
      <c r="A98" s="155"/>
      <c r="B98" s="158"/>
      <c r="C98" s="155"/>
      <c r="D98" s="155"/>
      <c r="E98" s="158"/>
      <c r="F98" s="160"/>
    </row>
    <row r="99" ht="12.75" customHeight="1">
      <c r="A99" s="155"/>
      <c r="B99" s="158"/>
      <c r="C99" s="155"/>
      <c r="D99" s="155"/>
      <c r="E99" s="158"/>
      <c r="F99" s="160"/>
    </row>
    <row r="100" ht="12.75" customHeight="1">
      <c r="A100" s="155"/>
      <c r="B100" s="158"/>
      <c r="C100" s="155"/>
      <c r="D100" s="155"/>
      <c r="E100" s="158"/>
      <c r="F100" s="160"/>
    </row>
    <row r="101" ht="12.75" customHeight="1">
      <c r="A101" s="155"/>
      <c r="B101" s="158"/>
      <c r="C101" s="155"/>
      <c r="D101" s="155"/>
      <c r="E101" s="158"/>
      <c r="F101" s="160"/>
    </row>
    <row r="102" ht="12.75" customHeight="1">
      <c r="A102" s="155"/>
      <c r="B102" s="158"/>
      <c r="C102" s="155"/>
      <c r="D102" s="155"/>
      <c r="E102" s="158"/>
      <c r="F102" s="160"/>
    </row>
    <row r="103" ht="12.75" customHeight="1">
      <c r="A103" s="155"/>
      <c r="B103" s="158"/>
      <c r="C103" s="155"/>
      <c r="D103" s="155"/>
      <c r="E103" s="158"/>
      <c r="F103" s="160"/>
    </row>
    <row r="104" ht="12.75" customHeight="1">
      <c r="A104" s="155"/>
      <c r="B104" s="158"/>
      <c r="C104" s="155"/>
      <c r="D104" s="155"/>
      <c r="E104" s="158"/>
      <c r="F104" s="160"/>
    </row>
    <row r="105" ht="12.75" customHeight="1">
      <c r="A105" s="155"/>
      <c r="B105" s="158"/>
      <c r="C105" s="155"/>
      <c r="D105" s="155"/>
      <c r="E105" s="158"/>
      <c r="F105" s="160"/>
    </row>
    <row r="106" ht="12.75" customHeight="1">
      <c r="A106" s="155"/>
      <c r="B106" s="158"/>
      <c r="C106" s="155"/>
      <c r="D106" s="155"/>
      <c r="E106" s="158"/>
      <c r="F106" s="160"/>
    </row>
    <row r="107" ht="12.75" customHeight="1">
      <c r="A107" s="155"/>
      <c r="B107" s="158"/>
      <c r="C107" s="155"/>
      <c r="D107" s="155"/>
      <c r="E107" s="158"/>
      <c r="F107" s="160"/>
    </row>
    <row r="108" ht="12.75" customHeight="1">
      <c r="A108" s="155"/>
      <c r="B108" s="158"/>
      <c r="C108" s="155"/>
      <c r="D108" s="155"/>
      <c r="E108" s="158"/>
      <c r="F108" s="160"/>
    </row>
    <row r="109" ht="12.75" customHeight="1">
      <c r="A109" s="155"/>
      <c r="B109" s="158"/>
      <c r="C109" s="155"/>
      <c r="D109" s="155"/>
      <c r="E109" s="158"/>
      <c r="F109" s="160"/>
    </row>
    <row r="110" ht="12.75" customHeight="1">
      <c r="A110" s="155"/>
      <c r="B110" s="158"/>
      <c r="C110" s="155"/>
      <c r="D110" s="155"/>
      <c r="E110" s="158"/>
      <c r="F110" s="160"/>
    </row>
    <row r="111" ht="12.75" customHeight="1">
      <c r="A111" s="155"/>
      <c r="B111" s="158"/>
      <c r="C111" s="155"/>
      <c r="D111" s="155"/>
      <c r="E111" s="158"/>
      <c r="F111" s="160"/>
    </row>
    <row r="112" ht="12.75" customHeight="1">
      <c r="A112" s="155"/>
      <c r="B112" s="158"/>
      <c r="C112" s="155"/>
      <c r="D112" s="155"/>
      <c r="E112" s="158"/>
      <c r="F112" s="160"/>
    </row>
    <row r="113" ht="12.75" customHeight="1">
      <c r="A113" s="155"/>
      <c r="B113" s="158"/>
      <c r="C113" s="155"/>
      <c r="D113" s="155"/>
      <c r="E113" s="158"/>
      <c r="F113" s="160"/>
    </row>
    <row r="114" ht="12.75" customHeight="1">
      <c r="A114" s="155"/>
      <c r="B114" s="158"/>
      <c r="C114" s="155"/>
      <c r="D114" s="155"/>
      <c r="E114" s="158"/>
      <c r="F114" s="160"/>
    </row>
    <row r="115" ht="12.75" customHeight="1">
      <c r="A115" s="155"/>
      <c r="B115" s="158"/>
      <c r="C115" s="155"/>
      <c r="D115" s="155"/>
      <c r="E115" s="158"/>
      <c r="F115" s="160"/>
    </row>
    <row r="116" ht="12.75" customHeight="1">
      <c r="A116" s="155"/>
      <c r="B116" s="158"/>
      <c r="C116" s="155"/>
      <c r="D116" s="155"/>
      <c r="E116" s="158"/>
      <c r="F116" s="160"/>
    </row>
    <row r="117" ht="12.75" customHeight="1">
      <c r="A117" s="155"/>
      <c r="B117" s="158"/>
      <c r="C117" s="155"/>
      <c r="D117" s="155"/>
      <c r="E117" s="158"/>
      <c r="F117" s="160"/>
    </row>
    <row r="118" ht="12.75" customHeight="1">
      <c r="A118" s="155"/>
      <c r="B118" s="158"/>
      <c r="C118" s="155"/>
      <c r="D118" s="155"/>
      <c r="E118" s="158"/>
      <c r="F118" s="160"/>
    </row>
    <row r="119" ht="12.75" customHeight="1">
      <c r="A119" s="155"/>
      <c r="B119" s="158"/>
      <c r="C119" s="155"/>
      <c r="D119" s="155"/>
      <c r="E119" s="158"/>
      <c r="F119" s="160"/>
    </row>
    <row r="120" ht="12.75" customHeight="1">
      <c r="A120" s="155"/>
      <c r="B120" s="158"/>
      <c r="C120" s="155"/>
      <c r="D120" s="155"/>
      <c r="E120" s="158"/>
      <c r="F120" s="160"/>
    </row>
    <row r="121" ht="12.75" customHeight="1">
      <c r="A121" s="155"/>
      <c r="B121" s="158"/>
      <c r="C121" s="155"/>
      <c r="D121" s="155"/>
      <c r="E121" s="158"/>
      <c r="F121" s="160"/>
    </row>
    <row r="122" ht="12.75" customHeight="1">
      <c r="A122" s="155"/>
      <c r="B122" s="158"/>
      <c r="C122" s="155"/>
      <c r="D122" s="155"/>
      <c r="E122" s="158"/>
      <c r="F122" s="160"/>
    </row>
    <row r="123" ht="12.75" customHeight="1">
      <c r="A123" s="155"/>
      <c r="B123" s="158"/>
      <c r="C123" s="155"/>
      <c r="D123" s="155"/>
      <c r="E123" s="158"/>
      <c r="F123" s="160"/>
    </row>
    <row r="124" ht="12.75" customHeight="1">
      <c r="A124" s="155"/>
      <c r="B124" s="158"/>
      <c r="C124" s="155"/>
      <c r="D124" s="155"/>
      <c r="E124" s="158"/>
      <c r="F124" s="160"/>
    </row>
    <row r="125" ht="12.75" customHeight="1">
      <c r="A125" s="155"/>
      <c r="B125" s="158"/>
      <c r="C125" s="155"/>
      <c r="D125" s="155"/>
      <c r="E125" s="158"/>
      <c r="F125" s="160"/>
    </row>
    <row r="126" ht="12.75" customHeight="1">
      <c r="A126" s="155"/>
      <c r="B126" s="158"/>
      <c r="C126" s="155"/>
      <c r="D126" s="155"/>
      <c r="E126" s="158"/>
      <c r="F126" s="160"/>
    </row>
    <row r="127" ht="12.75" customHeight="1">
      <c r="A127" s="155"/>
      <c r="B127" s="158"/>
      <c r="C127" s="155"/>
      <c r="D127" s="155"/>
      <c r="E127" s="158"/>
      <c r="F127" s="160"/>
    </row>
    <row r="128" ht="12.75" customHeight="1">
      <c r="A128" s="155"/>
      <c r="B128" s="158"/>
      <c r="C128" s="155"/>
      <c r="D128" s="155"/>
      <c r="E128" s="158"/>
      <c r="F128" s="160"/>
    </row>
    <row r="129" ht="12.75" customHeight="1">
      <c r="A129" s="155"/>
      <c r="B129" s="158"/>
      <c r="C129" s="155"/>
      <c r="D129" s="155"/>
      <c r="E129" s="158"/>
      <c r="F129" s="160"/>
    </row>
    <row r="130" ht="12.75" customHeight="1">
      <c r="A130" s="155"/>
      <c r="B130" s="158"/>
      <c r="C130" s="155"/>
      <c r="D130" s="155"/>
      <c r="E130" s="158"/>
      <c r="F130" s="160"/>
    </row>
    <row r="131" ht="12.75" customHeight="1">
      <c r="A131" s="155"/>
      <c r="B131" s="158"/>
      <c r="C131" s="155"/>
      <c r="D131" s="155"/>
      <c r="E131" s="158"/>
      <c r="F131" s="160"/>
    </row>
    <row r="132" ht="12.75" customHeight="1">
      <c r="A132" s="155"/>
      <c r="B132" s="158"/>
      <c r="C132" s="155"/>
      <c r="D132" s="155"/>
      <c r="E132" s="158"/>
      <c r="F132" s="160"/>
    </row>
    <row r="133" ht="12.75" customHeight="1">
      <c r="A133" s="155"/>
      <c r="B133" s="158"/>
      <c r="C133" s="155"/>
      <c r="D133" s="155"/>
      <c r="E133" s="158"/>
      <c r="F133" s="160"/>
    </row>
    <row r="134" ht="12.75" customHeight="1">
      <c r="A134" s="155"/>
      <c r="B134" s="158"/>
      <c r="C134" s="155"/>
      <c r="D134" s="155"/>
      <c r="E134" s="158"/>
      <c r="F134" s="160"/>
    </row>
    <row r="135" ht="12.75" customHeight="1">
      <c r="A135" s="155"/>
      <c r="B135" s="158"/>
      <c r="C135" s="155"/>
      <c r="D135" s="155"/>
      <c r="E135" s="158"/>
      <c r="F135" s="160"/>
    </row>
    <row r="136" ht="12.75" customHeight="1">
      <c r="A136" s="155"/>
      <c r="B136" s="158"/>
      <c r="C136" s="155"/>
      <c r="D136" s="155"/>
      <c r="E136" s="158"/>
      <c r="F136" s="160"/>
    </row>
    <row r="137" ht="12.75" customHeight="1">
      <c r="A137" s="155"/>
      <c r="B137" s="158"/>
      <c r="C137" s="155"/>
      <c r="D137" s="155"/>
      <c r="E137" s="158"/>
      <c r="F137" s="160"/>
    </row>
    <row r="138" ht="12.75" customHeight="1">
      <c r="A138" s="155"/>
      <c r="B138" s="158"/>
      <c r="C138" s="155"/>
      <c r="D138" s="155"/>
      <c r="E138" s="158"/>
      <c r="F138" s="160"/>
    </row>
    <row r="139" ht="12.75" customHeight="1">
      <c r="A139" s="155"/>
      <c r="B139" s="158"/>
      <c r="C139" s="155"/>
      <c r="D139" s="155"/>
      <c r="E139" s="158"/>
      <c r="F139" s="160"/>
    </row>
    <row r="140" ht="12.75" customHeight="1">
      <c r="A140" s="155"/>
      <c r="B140" s="158"/>
      <c r="C140" s="155"/>
      <c r="D140" s="155"/>
      <c r="E140" s="158"/>
      <c r="F140" s="160"/>
    </row>
    <row r="141" ht="12.75" customHeight="1">
      <c r="A141" s="155"/>
      <c r="B141" s="158"/>
      <c r="C141" s="155"/>
      <c r="D141" s="155"/>
      <c r="E141" s="158"/>
      <c r="F141" s="160"/>
    </row>
    <row r="142" ht="12.75" customHeight="1">
      <c r="A142" s="155"/>
      <c r="B142" s="158"/>
      <c r="C142" s="155"/>
      <c r="D142" s="155"/>
      <c r="E142" s="158"/>
      <c r="F142" s="160"/>
    </row>
    <row r="143" ht="12.75" customHeight="1">
      <c r="A143" s="155"/>
      <c r="B143" s="158"/>
      <c r="C143" s="155"/>
      <c r="D143" s="155"/>
      <c r="E143" s="158"/>
      <c r="F143" s="160"/>
    </row>
    <row r="144" ht="12.75" customHeight="1">
      <c r="A144" s="155"/>
      <c r="B144" s="158"/>
      <c r="C144" s="155"/>
      <c r="D144" s="155"/>
      <c r="E144" s="158"/>
      <c r="F144" s="160"/>
    </row>
    <row r="145" ht="12.75" customHeight="1">
      <c r="A145" s="155"/>
      <c r="B145" s="158"/>
      <c r="C145" s="155"/>
      <c r="D145" s="155"/>
      <c r="E145" s="158"/>
      <c r="F145" s="160"/>
    </row>
    <row r="146" ht="12.75" customHeight="1">
      <c r="A146" s="155"/>
      <c r="B146" s="158"/>
      <c r="C146" s="155"/>
      <c r="D146" s="155"/>
      <c r="E146" s="158"/>
      <c r="F146" s="160"/>
    </row>
    <row r="147" ht="12.75" customHeight="1">
      <c r="A147" s="155"/>
      <c r="B147" s="158"/>
      <c r="C147" s="155"/>
      <c r="D147" s="155"/>
      <c r="E147" s="158"/>
      <c r="F147" s="160"/>
    </row>
    <row r="148" ht="12.75" customHeight="1">
      <c r="A148" s="155"/>
      <c r="B148" s="158"/>
      <c r="C148" s="155"/>
      <c r="D148" s="155"/>
      <c r="E148" s="158"/>
      <c r="F148" s="160"/>
    </row>
    <row r="149" ht="12.75" customHeight="1">
      <c r="A149" s="155"/>
      <c r="B149" s="158"/>
      <c r="C149" s="155"/>
      <c r="D149" s="155"/>
      <c r="E149" s="158"/>
      <c r="F149" s="160"/>
    </row>
    <row r="150" ht="12.75" customHeight="1">
      <c r="A150" s="155"/>
      <c r="B150" s="158"/>
      <c r="C150" s="155"/>
      <c r="D150" s="155"/>
      <c r="E150" s="158"/>
      <c r="F150" s="160"/>
    </row>
    <row r="151" ht="12.75" customHeight="1">
      <c r="A151" s="155"/>
      <c r="B151" s="158"/>
      <c r="C151" s="155"/>
      <c r="D151" s="155"/>
      <c r="E151" s="158"/>
      <c r="F151" s="160"/>
    </row>
    <row r="152" ht="12.75" customHeight="1">
      <c r="A152" s="155"/>
      <c r="B152" s="158"/>
      <c r="C152" s="155"/>
      <c r="D152" s="155"/>
      <c r="E152" s="158"/>
      <c r="F152" s="160"/>
    </row>
    <row r="153" ht="12.75" customHeight="1">
      <c r="A153" s="155"/>
      <c r="B153" s="158"/>
      <c r="C153" s="155"/>
      <c r="D153" s="155"/>
      <c r="E153" s="158"/>
      <c r="F153" s="160"/>
    </row>
    <row r="154" ht="12.75" customHeight="1">
      <c r="A154" s="155"/>
      <c r="B154" s="158"/>
      <c r="C154" s="155"/>
      <c r="D154" s="155"/>
      <c r="E154" s="158"/>
      <c r="F154" s="160"/>
    </row>
    <row r="155" ht="12.75" customHeight="1">
      <c r="A155" s="155"/>
      <c r="B155" s="158"/>
      <c r="C155" s="155"/>
      <c r="D155" s="155"/>
      <c r="E155" s="158"/>
      <c r="F155" s="160"/>
    </row>
    <row r="156" ht="12.75" customHeight="1">
      <c r="A156" s="155"/>
      <c r="B156" s="158"/>
      <c r="C156" s="155"/>
      <c r="D156" s="155"/>
      <c r="E156" s="158"/>
      <c r="F156" s="160"/>
    </row>
    <row r="157" ht="12.75" customHeight="1">
      <c r="A157" s="155"/>
      <c r="B157" s="158"/>
      <c r="C157" s="155"/>
      <c r="D157" s="155"/>
      <c r="E157" s="158"/>
      <c r="F157" s="160"/>
    </row>
    <row r="158" ht="12.75" customHeight="1">
      <c r="A158" s="155"/>
      <c r="B158" s="158"/>
      <c r="C158" s="155"/>
      <c r="D158" s="155"/>
      <c r="E158" s="158"/>
      <c r="F158" s="160"/>
    </row>
    <row r="159" ht="12.75" customHeight="1">
      <c r="A159" s="155"/>
      <c r="B159" s="158"/>
      <c r="C159" s="155"/>
      <c r="D159" s="155"/>
      <c r="E159" s="158"/>
      <c r="F159" s="160"/>
    </row>
    <row r="160" ht="12.75" customHeight="1">
      <c r="A160" s="155"/>
      <c r="B160" s="158"/>
      <c r="C160" s="155"/>
      <c r="D160" s="155"/>
      <c r="E160" s="158"/>
      <c r="F160" s="160"/>
    </row>
    <row r="161" ht="12.75" customHeight="1">
      <c r="A161" s="155"/>
      <c r="B161" s="158"/>
      <c r="C161" s="155"/>
      <c r="D161" s="155"/>
      <c r="E161" s="158"/>
      <c r="F161" s="160"/>
    </row>
    <row r="162" ht="12.75" customHeight="1">
      <c r="A162" s="155"/>
      <c r="B162" s="158"/>
      <c r="C162" s="155"/>
      <c r="D162" s="155"/>
      <c r="E162" s="158"/>
      <c r="F162" s="160"/>
    </row>
    <row r="163" ht="12.75" customHeight="1">
      <c r="A163" s="155"/>
      <c r="B163" s="158"/>
      <c r="C163" s="155"/>
      <c r="D163" s="155"/>
      <c r="E163" s="158"/>
      <c r="F163" s="160"/>
    </row>
    <row r="164" ht="12.75" customHeight="1">
      <c r="A164" s="155"/>
      <c r="B164" s="158"/>
      <c r="C164" s="155"/>
      <c r="D164" s="155"/>
      <c r="E164" s="158"/>
      <c r="F164" s="160"/>
    </row>
    <row r="165" ht="12.75" customHeight="1">
      <c r="A165" s="155"/>
      <c r="B165" s="158"/>
      <c r="C165" s="155"/>
      <c r="D165" s="155"/>
      <c r="E165" s="158"/>
      <c r="F165" s="160"/>
    </row>
    <row r="166" ht="12.75" customHeight="1">
      <c r="A166" s="155"/>
      <c r="B166" s="158"/>
      <c r="C166" s="155"/>
      <c r="D166" s="155"/>
      <c r="E166" s="158"/>
      <c r="F166" s="160"/>
    </row>
    <row r="167" ht="12.75" customHeight="1">
      <c r="A167" s="155"/>
      <c r="B167" s="158"/>
      <c r="C167" s="155"/>
      <c r="D167" s="155"/>
      <c r="E167" s="158"/>
      <c r="F167" s="160"/>
    </row>
    <row r="168" ht="12.75" customHeight="1">
      <c r="A168" s="155"/>
      <c r="B168" s="158"/>
      <c r="C168" s="155"/>
      <c r="D168" s="155"/>
      <c r="E168" s="158"/>
      <c r="F168" s="160"/>
    </row>
    <row r="169" ht="12.75" customHeight="1">
      <c r="A169" s="155"/>
      <c r="B169" s="158"/>
      <c r="C169" s="155"/>
      <c r="D169" s="155"/>
      <c r="E169" s="158"/>
      <c r="F169" s="160"/>
    </row>
    <row r="170" ht="12.75" customHeight="1">
      <c r="A170" s="155"/>
      <c r="B170" s="158"/>
      <c r="C170" s="155"/>
      <c r="D170" s="155"/>
      <c r="E170" s="158"/>
      <c r="F170" s="160"/>
    </row>
    <row r="171" ht="12.75" customHeight="1">
      <c r="A171" s="155"/>
      <c r="B171" s="158"/>
      <c r="C171" s="155"/>
      <c r="D171" s="155"/>
      <c r="E171" s="158"/>
      <c r="F171" s="160"/>
    </row>
    <row r="172" ht="12.75" customHeight="1">
      <c r="A172" s="155"/>
      <c r="B172" s="158"/>
      <c r="C172" s="155"/>
      <c r="D172" s="155"/>
      <c r="E172" s="158"/>
      <c r="F172" s="160"/>
    </row>
    <row r="173" ht="12.75" customHeight="1">
      <c r="A173" s="155"/>
      <c r="B173" s="158"/>
      <c r="C173" s="155"/>
      <c r="D173" s="155"/>
      <c r="E173" s="158"/>
      <c r="F173" s="160"/>
    </row>
    <row r="174" ht="12.75" customHeight="1">
      <c r="A174" s="155"/>
      <c r="B174" s="158"/>
      <c r="C174" s="155"/>
      <c r="D174" s="155"/>
      <c r="E174" s="158"/>
      <c r="F174" s="160"/>
    </row>
    <row r="175" ht="12.75" customHeight="1">
      <c r="A175" s="155"/>
      <c r="B175" s="158"/>
      <c r="C175" s="155"/>
      <c r="D175" s="155"/>
      <c r="E175" s="158"/>
      <c r="F175" s="160"/>
    </row>
    <row r="176" ht="12.75" customHeight="1">
      <c r="A176" s="155"/>
      <c r="B176" s="158"/>
      <c r="C176" s="155"/>
      <c r="D176" s="155"/>
      <c r="E176" s="158"/>
      <c r="F176" s="160"/>
    </row>
    <row r="177" ht="12.75" customHeight="1">
      <c r="A177" s="155"/>
      <c r="B177" s="158"/>
      <c r="C177" s="155"/>
      <c r="D177" s="155"/>
      <c r="E177" s="158"/>
      <c r="F177" s="160"/>
    </row>
    <row r="178" ht="12.75" customHeight="1">
      <c r="A178" s="155"/>
      <c r="B178" s="158"/>
      <c r="C178" s="155"/>
      <c r="D178" s="155"/>
      <c r="E178" s="158"/>
      <c r="F178" s="160"/>
    </row>
    <row r="179" ht="12.75" customHeight="1">
      <c r="A179" s="155"/>
      <c r="B179" s="158"/>
      <c r="C179" s="155"/>
      <c r="D179" s="155"/>
      <c r="E179" s="158"/>
      <c r="F179" s="160"/>
    </row>
    <row r="180" ht="12.75" customHeight="1">
      <c r="A180" s="155"/>
      <c r="B180" s="158"/>
      <c r="C180" s="155"/>
      <c r="D180" s="155"/>
      <c r="E180" s="158"/>
      <c r="F180" s="160"/>
    </row>
    <row r="181" ht="12.75" customHeight="1">
      <c r="A181" s="155"/>
      <c r="B181" s="158"/>
      <c r="C181" s="155"/>
      <c r="D181" s="155"/>
      <c r="E181" s="158"/>
      <c r="F181" s="160"/>
    </row>
    <row r="182" ht="12.75" customHeight="1">
      <c r="A182" s="155"/>
      <c r="B182" s="158"/>
      <c r="C182" s="155"/>
      <c r="D182" s="155"/>
      <c r="E182" s="158"/>
      <c r="F182" s="160"/>
    </row>
    <row r="183" ht="12.75" customHeight="1">
      <c r="A183" s="155"/>
      <c r="B183" s="158"/>
      <c r="C183" s="155"/>
      <c r="D183" s="155"/>
      <c r="E183" s="158"/>
      <c r="F183" s="160"/>
    </row>
    <row r="184" ht="12.75" customHeight="1">
      <c r="A184" s="155"/>
      <c r="B184" s="158"/>
      <c r="C184" s="155"/>
      <c r="D184" s="155"/>
      <c r="E184" s="158"/>
      <c r="F184" s="160"/>
    </row>
    <row r="185" ht="12.75" customHeight="1">
      <c r="A185" s="155"/>
      <c r="B185" s="158"/>
      <c r="C185" s="155"/>
      <c r="D185" s="155"/>
      <c r="E185" s="158"/>
      <c r="F185" s="160"/>
    </row>
    <row r="186" ht="12.75" customHeight="1">
      <c r="A186" s="155"/>
      <c r="B186" s="158"/>
      <c r="C186" s="155"/>
      <c r="D186" s="155"/>
      <c r="E186" s="158"/>
      <c r="F186" s="160"/>
    </row>
    <row r="187" ht="12.75" customHeight="1">
      <c r="A187" s="155"/>
      <c r="B187" s="158"/>
      <c r="C187" s="155"/>
      <c r="D187" s="155"/>
      <c r="E187" s="158"/>
      <c r="F187" s="160"/>
    </row>
    <row r="188" ht="12.75" customHeight="1">
      <c r="A188" s="155"/>
      <c r="B188" s="158"/>
      <c r="C188" s="155"/>
      <c r="D188" s="155"/>
      <c r="E188" s="158"/>
      <c r="F188" s="160"/>
    </row>
    <row r="189" ht="12.75" customHeight="1">
      <c r="A189" s="155"/>
      <c r="B189" s="158"/>
      <c r="C189" s="155"/>
      <c r="D189" s="155"/>
      <c r="E189" s="158"/>
      <c r="F189" s="160"/>
    </row>
    <row r="190" ht="12.75" customHeight="1">
      <c r="A190" s="155"/>
      <c r="B190" s="158"/>
      <c r="C190" s="155"/>
      <c r="D190" s="155"/>
      <c r="E190" s="158"/>
      <c r="F190" s="160"/>
    </row>
    <row r="191" ht="12.75" customHeight="1">
      <c r="A191" s="155"/>
      <c r="B191" s="158"/>
      <c r="C191" s="155"/>
      <c r="D191" s="155"/>
      <c r="E191" s="158"/>
      <c r="F191" s="160"/>
    </row>
    <row r="192" ht="12.75" customHeight="1">
      <c r="A192" s="155"/>
      <c r="B192" s="158"/>
      <c r="C192" s="155"/>
      <c r="D192" s="155"/>
      <c r="E192" s="158"/>
      <c r="F192" s="160"/>
    </row>
    <row r="193" ht="12.75" customHeight="1">
      <c r="A193" s="155"/>
      <c r="B193" s="158"/>
      <c r="C193" s="155"/>
      <c r="D193" s="155"/>
      <c r="E193" s="158"/>
      <c r="F193" s="160"/>
    </row>
    <row r="194" ht="12.75" customHeight="1">
      <c r="A194" s="155"/>
      <c r="B194" s="158"/>
      <c r="C194" s="155"/>
      <c r="D194" s="155"/>
      <c r="E194" s="158"/>
      <c r="F194" s="160"/>
    </row>
    <row r="195" ht="12.75" customHeight="1">
      <c r="A195" s="155"/>
      <c r="B195" s="158"/>
      <c r="C195" s="155"/>
      <c r="D195" s="155"/>
      <c r="E195" s="158"/>
      <c r="F195" s="160"/>
    </row>
    <row r="196" ht="12.75" customHeight="1">
      <c r="A196" s="155"/>
      <c r="B196" s="158"/>
      <c r="C196" s="155"/>
      <c r="D196" s="155"/>
      <c r="E196" s="158"/>
      <c r="F196" s="160"/>
    </row>
    <row r="197" ht="12.75" customHeight="1">
      <c r="A197" s="155"/>
      <c r="B197" s="158"/>
      <c r="C197" s="155"/>
      <c r="D197" s="155"/>
      <c r="E197" s="158"/>
      <c r="F197" s="160"/>
    </row>
    <row r="198" ht="12.75" customHeight="1">
      <c r="A198" s="155"/>
      <c r="B198" s="158"/>
      <c r="C198" s="155"/>
      <c r="D198" s="155"/>
      <c r="E198" s="158"/>
      <c r="F198" s="160"/>
    </row>
    <row r="199" ht="12.75" customHeight="1">
      <c r="A199" s="155"/>
      <c r="B199" s="158"/>
      <c r="C199" s="155"/>
      <c r="D199" s="155"/>
      <c r="E199" s="158"/>
      <c r="F199" s="160"/>
    </row>
    <row r="200" ht="12.75" customHeight="1">
      <c r="A200" s="155"/>
      <c r="B200" s="158"/>
      <c r="C200" s="155"/>
      <c r="D200" s="155"/>
      <c r="E200" s="158"/>
      <c r="F200" s="160"/>
    </row>
    <row r="201" ht="12.75" customHeight="1">
      <c r="A201" s="155"/>
      <c r="B201" s="158"/>
      <c r="C201" s="155"/>
      <c r="D201" s="155"/>
      <c r="E201" s="158"/>
      <c r="F201" s="160"/>
    </row>
    <row r="202" ht="12.75" customHeight="1">
      <c r="A202" s="155"/>
      <c r="B202" s="158"/>
      <c r="C202" s="155"/>
      <c r="D202" s="155"/>
      <c r="E202" s="158"/>
      <c r="F202" s="160"/>
    </row>
    <row r="203" ht="12.75" customHeight="1">
      <c r="A203" s="155"/>
      <c r="B203" s="158"/>
      <c r="C203" s="155"/>
      <c r="D203" s="155"/>
      <c r="E203" s="158"/>
      <c r="F203" s="160"/>
    </row>
    <row r="204" ht="12.75" customHeight="1">
      <c r="A204" s="155"/>
      <c r="B204" s="158"/>
      <c r="C204" s="155"/>
      <c r="D204" s="155"/>
      <c r="E204" s="158"/>
      <c r="F204" s="160"/>
    </row>
    <row r="205" ht="12.75" customHeight="1">
      <c r="A205" s="155"/>
      <c r="B205" s="158"/>
      <c r="C205" s="155"/>
      <c r="D205" s="155"/>
      <c r="E205" s="158"/>
      <c r="F205" s="160"/>
    </row>
    <row r="206" ht="12.75" customHeight="1">
      <c r="A206" s="155"/>
      <c r="B206" s="158"/>
      <c r="C206" s="155"/>
      <c r="D206" s="155"/>
      <c r="E206" s="158"/>
      <c r="F206" s="160"/>
    </row>
    <row r="207" ht="12.75" customHeight="1">
      <c r="A207" s="155"/>
      <c r="B207" s="158"/>
      <c r="C207" s="155"/>
      <c r="D207" s="155"/>
      <c r="E207" s="158"/>
      <c r="F207" s="160"/>
    </row>
    <row r="208" ht="12.75" customHeight="1">
      <c r="A208" s="155"/>
      <c r="B208" s="158"/>
      <c r="C208" s="155"/>
      <c r="D208" s="155"/>
      <c r="E208" s="158"/>
      <c r="F208" s="160"/>
    </row>
    <row r="209" ht="12.75" customHeight="1">
      <c r="A209" s="155"/>
      <c r="B209" s="158"/>
      <c r="C209" s="155"/>
      <c r="D209" s="155"/>
      <c r="E209" s="158"/>
      <c r="F209" s="160"/>
    </row>
    <row r="210" ht="12.75" customHeight="1">
      <c r="A210" s="155"/>
      <c r="B210" s="158"/>
      <c r="C210" s="155"/>
      <c r="D210" s="155"/>
      <c r="E210" s="158"/>
      <c r="F210" s="160"/>
    </row>
    <row r="211" ht="12.75" customHeight="1">
      <c r="A211" s="155"/>
      <c r="B211" s="158"/>
      <c r="C211" s="155"/>
      <c r="D211" s="155"/>
      <c r="E211" s="158"/>
      <c r="F211" s="160"/>
    </row>
    <row r="212" ht="12.75" customHeight="1">
      <c r="A212" s="155"/>
      <c r="B212" s="158"/>
      <c r="C212" s="155"/>
      <c r="D212" s="155"/>
      <c r="E212" s="158"/>
      <c r="F212" s="160"/>
    </row>
    <row r="213" ht="12.75" customHeight="1">
      <c r="A213" s="155"/>
      <c r="B213" s="158"/>
      <c r="C213" s="155"/>
      <c r="D213" s="155"/>
      <c r="E213" s="158"/>
      <c r="F213" s="160"/>
    </row>
    <row r="214" ht="12.75" customHeight="1">
      <c r="A214" s="155"/>
      <c r="B214" s="158"/>
      <c r="C214" s="155"/>
      <c r="D214" s="155"/>
      <c r="E214" s="158"/>
      <c r="F214" s="160"/>
    </row>
    <row r="215" ht="12.75" customHeight="1">
      <c r="A215" s="155"/>
      <c r="B215" s="158"/>
      <c r="C215" s="155"/>
      <c r="D215" s="155"/>
      <c r="E215" s="158"/>
      <c r="F215" s="160"/>
    </row>
    <row r="216" ht="12.75" customHeight="1">
      <c r="A216" s="155"/>
      <c r="B216" s="158"/>
      <c r="C216" s="155"/>
      <c r="D216" s="155"/>
      <c r="E216" s="158"/>
      <c r="F216" s="160"/>
    </row>
    <row r="217" ht="12.75" customHeight="1">
      <c r="A217" s="155"/>
      <c r="B217" s="158"/>
      <c r="C217" s="155"/>
      <c r="D217" s="155"/>
      <c r="E217" s="158"/>
      <c r="F217" s="160"/>
    </row>
    <row r="218" ht="12.75" customHeight="1">
      <c r="A218" s="155"/>
      <c r="B218" s="158"/>
      <c r="C218" s="155"/>
      <c r="D218" s="155"/>
      <c r="E218" s="158"/>
      <c r="F218" s="160"/>
    </row>
    <row r="219" ht="12.75" customHeight="1">
      <c r="A219" s="155"/>
      <c r="B219" s="158"/>
      <c r="C219" s="155"/>
      <c r="D219" s="155"/>
      <c r="E219" s="158"/>
      <c r="F219" s="160"/>
    </row>
    <row r="220" ht="12.75" customHeight="1">
      <c r="A220" s="155"/>
      <c r="B220" s="158"/>
      <c r="C220" s="155"/>
      <c r="D220" s="155"/>
      <c r="E220" s="158"/>
      <c r="F220" s="16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5.38"/>
    <col customWidth="1" min="2" max="2" width="23.25"/>
    <col customWidth="1" min="3" max="26" width="11.0"/>
  </cols>
  <sheetData>
    <row r="1" ht="15.75" customHeight="1">
      <c r="A1" s="161" t="s">
        <v>406</v>
      </c>
      <c r="B1" s="161" t="s">
        <v>398</v>
      </c>
      <c r="C1" s="161" t="s">
        <v>407</v>
      </c>
      <c r="D1" s="161" t="s">
        <v>408</v>
      </c>
    </row>
    <row r="2" ht="15.75" customHeight="1">
      <c r="A2" s="53"/>
      <c r="B2" s="53"/>
      <c r="C2" s="53"/>
      <c r="D2" s="53"/>
    </row>
    <row r="3" ht="15.75" customHeight="1">
      <c r="A3" s="53"/>
      <c r="B3" s="53"/>
      <c r="C3" s="53"/>
      <c r="D3" s="53"/>
    </row>
    <row r="4" ht="15.75" customHeight="1">
      <c r="A4" s="53"/>
      <c r="B4" s="53"/>
      <c r="C4" s="53"/>
      <c r="D4" s="53"/>
    </row>
    <row r="5" ht="15.75" customHeight="1">
      <c r="A5" s="53"/>
      <c r="B5" s="53"/>
      <c r="C5" s="53"/>
      <c r="D5" s="53"/>
    </row>
    <row r="6" ht="15.75" customHeight="1">
      <c r="A6" s="53"/>
      <c r="B6" s="53"/>
      <c r="C6" s="53"/>
      <c r="D6" s="53"/>
    </row>
    <row r="7" ht="15.75" customHeight="1">
      <c r="A7" s="53"/>
      <c r="B7" s="53"/>
      <c r="C7" s="53"/>
      <c r="D7" s="53"/>
    </row>
    <row r="8" ht="15.75" customHeight="1">
      <c r="A8" s="53"/>
      <c r="B8" s="53"/>
      <c r="C8" s="53"/>
      <c r="D8" s="53"/>
    </row>
    <row r="9" ht="15.75" customHeight="1">
      <c r="A9" s="53"/>
      <c r="B9" s="53"/>
      <c r="C9" s="53"/>
      <c r="D9" s="53"/>
    </row>
    <row r="10" ht="15.75" customHeight="1">
      <c r="A10" s="53"/>
      <c r="B10" s="53"/>
      <c r="C10" s="53"/>
      <c r="D10" s="53"/>
    </row>
    <row r="11" ht="15.75" customHeight="1">
      <c r="A11" s="53"/>
      <c r="B11" s="53"/>
      <c r="C11" s="53"/>
      <c r="D11" s="53"/>
    </row>
    <row r="12" ht="15.75" customHeight="1">
      <c r="A12" s="53"/>
      <c r="B12" s="53"/>
      <c r="C12" s="53"/>
      <c r="D12" s="53"/>
    </row>
    <row r="13" ht="15.75" customHeight="1">
      <c r="A13" s="53"/>
      <c r="B13" s="53"/>
      <c r="C13" s="53"/>
      <c r="D13" s="53"/>
    </row>
    <row r="14" ht="15.75" customHeight="1">
      <c r="A14" s="53"/>
      <c r="B14" s="53"/>
      <c r="C14" s="53"/>
      <c r="D14" s="53"/>
    </row>
    <row r="15" ht="15.75" customHeight="1">
      <c r="A15" s="53"/>
      <c r="B15" s="53"/>
      <c r="C15" s="53"/>
      <c r="D15" s="53"/>
    </row>
    <row r="16" ht="15.75" customHeight="1">
      <c r="A16" s="53"/>
      <c r="B16" s="53"/>
      <c r="C16" s="53"/>
      <c r="D16" s="53"/>
    </row>
    <row r="17" ht="15.75" customHeight="1">
      <c r="A17" s="53"/>
      <c r="B17" s="53"/>
      <c r="C17" s="53"/>
      <c r="D17" s="53"/>
    </row>
    <row r="18" ht="15.75" customHeight="1">
      <c r="A18" s="53"/>
      <c r="B18" s="53"/>
      <c r="C18" s="53"/>
      <c r="D18" s="53"/>
    </row>
    <row r="19" ht="15.75" customHeight="1">
      <c r="A19" s="53"/>
      <c r="B19" s="53"/>
      <c r="C19" s="53"/>
      <c r="D19" s="53"/>
    </row>
    <row r="20" ht="15.75" customHeight="1">
      <c r="A20" s="53"/>
      <c r="B20" s="53"/>
      <c r="C20" s="53"/>
      <c r="D20" s="53"/>
    </row>
    <row r="21" ht="15.75" customHeight="1">
      <c r="A21" s="53"/>
      <c r="B21" s="53"/>
      <c r="C21" s="53"/>
      <c r="D21" s="53"/>
    </row>
    <row r="22" ht="15.75" customHeight="1">
      <c r="A22" s="53"/>
      <c r="B22" s="53"/>
      <c r="C22" s="53"/>
      <c r="D22" s="53"/>
    </row>
    <row r="23" ht="15.75" customHeight="1">
      <c r="A23" s="53"/>
      <c r="B23" s="53"/>
      <c r="C23" s="53"/>
      <c r="D23" s="53"/>
    </row>
    <row r="24" ht="15.75" customHeight="1">
      <c r="A24" s="53"/>
      <c r="B24" s="53"/>
      <c r="C24" s="53"/>
      <c r="D24" s="53"/>
    </row>
    <row r="25" ht="15.75" customHeight="1">
      <c r="A25" s="53"/>
      <c r="B25" s="53"/>
      <c r="C25" s="53"/>
      <c r="D25" s="53"/>
    </row>
    <row r="26" ht="15.75" customHeight="1">
      <c r="A26" s="53"/>
      <c r="B26" s="53"/>
      <c r="C26" s="53"/>
      <c r="D26" s="53"/>
    </row>
    <row r="27" ht="15.75" customHeight="1">
      <c r="A27" s="53"/>
      <c r="B27" s="53"/>
      <c r="C27" s="53"/>
      <c r="D27" s="53"/>
    </row>
    <row r="28" ht="15.75" customHeight="1">
      <c r="A28" s="53"/>
      <c r="B28" s="53"/>
      <c r="C28" s="53"/>
      <c r="D28" s="53"/>
    </row>
    <row r="29" ht="15.75" customHeight="1">
      <c r="A29" s="53"/>
      <c r="B29" s="53"/>
      <c r="C29" s="53"/>
      <c r="D29" s="53"/>
    </row>
    <row r="30" ht="15.75" customHeight="1">
      <c r="A30" s="53"/>
      <c r="B30" s="53"/>
      <c r="C30" s="53"/>
      <c r="D30" s="53"/>
    </row>
    <row r="31" ht="15.75" customHeight="1">
      <c r="A31" s="53"/>
      <c r="B31" s="53"/>
      <c r="C31" s="53"/>
      <c r="D31" s="53"/>
    </row>
    <row r="32" ht="15.75" customHeight="1">
      <c r="A32" s="53"/>
      <c r="B32" s="53"/>
      <c r="C32" s="53"/>
      <c r="D32" s="53"/>
    </row>
    <row r="33" ht="15.75" customHeight="1">
      <c r="A33" s="53"/>
      <c r="B33" s="53"/>
      <c r="C33" s="53"/>
      <c r="D33" s="53"/>
    </row>
    <row r="34" ht="15.75" customHeight="1">
      <c r="A34" s="53"/>
      <c r="B34" s="53"/>
      <c r="C34" s="53"/>
      <c r="D34" s="53"/>
    </row>
    <row r="35" ht="15.75" customHeight="1">
      <c r="A35" s="53"/>
      <c r="B35" s="53"/>
      <c r="C35" s="53"/>
      <c r="D35" s="53"/>
    </row>
    <row r="36" ht="15.75" customHeight="1">
      <c r="A36" s="53"/>
      <c r="B36" s="53"/>
      <c r="C36" s="53"/>
      <c r="D36" s="53"/>
    </row>
    <row r="37" ht="15.75" customHeight="1">
      <c r="A37" s="53"/>
      <c r="B37" s="53"/>
      <c r="C37" s="53"/>
      <c r="D37" s="53"/>
    </row>
    <row r="38" ht="15.75" customHeight="1">
      <c r="A38" s="53"/>
      <c r="B38" s="53"/>
      <c r="C38" s="53"/>
      <c r="D38" s="53"/>
    </row>
    <row r="39" ht="15.75" customHeight="1">
      <c r="A39" s="53"/>
      <c r="B39" s="53"/>
      <c r="C39" s="53"/>
      <c r="D39" s="53"/>
    </row>
    <row r="40" ht="15.75" customHeight="1">
      <c r="A40" s="53"/>
      <c r="B40" s="53"/>
      <c r="C40" s="53"/>
      <c r="D40" s="53"/>
    </row>
    <row r="41" ht="15.75" customHeight="1">
      <c r="A41" s="53"/>
      <c r="B41" s="53"/>
      <c r="C41" s="53"/>
      <c r="D41" s="53"/>
    </row>
    <row r="42" ht="15.75" customHeight="1">
      <c r="A42" s="53"/>
      <c r="B42" s="53"/>
      <c r="C42" s="53"/>
      <c r="D42" s="53"/>
    </row>
    <row r="43" ht="15.75" customHeight="1">
      <c r="A43" s="53"/>
      <c r="B43" s="53"/>
      <c r="C43" s="53"/>
      <c r="D43" s="53"/>
    </row>
    <row r="44" ht="15.75" customHeight="1">
      <c r="A44" s="53"/>
      <c r="B44" s="53"/>
      <c r="C44" s="53"/>
      <c r="D44" s="53"/>
    </row>
    <row r="45" ht="15.75" customHeight="1">
      <c r="A45" s="53"/>
      <c r="B45" s="53"/>
      <c r="C45" s="53"/>
      <c r="D45" s="53"/>
    </row>
    <row r="46" ht="15.75" customHeight="1">
      <c r="A46" s="53"/>
      <c r="B46" s="53"/>
      <c r="C46" s="53"/>
      <c r="D46" s="53"/>
    </row>
    <row r="47" ht="15.75" customHeight="1">
      <c r="A47" s="53"/>
      <c r="B47" s="53"/>
      <c r="C47" s="53"/>
      <c r="D47" s="53"/>
    </row>
    <row r="48" ht="15.75" customHeight="1">
      <c r="A48" s="53"/>
      <c r="B48" s="53"/>
      <c r="C48" s="53"/>
      <c r="D48" s="53"/>
    </row>
    <row r="49" ht="15.75" customHeight="1">
      <c r="A49" s="53"/>
      <c r="B49" s="53"/>
      <c r="C49" s="53"/>
      <c r="D49" s="53"/>
    </row>
    <row r="50" ht="15.75" customHeight="1">
      <c r="A50" s="53"/>
      <c r="B50" s="53"/>
      <c r="C50" s="53"/>
      <c r="D50" s="53"/>
    </row>
    <row r="51" ht="15.75" customHeight="1">
      <c r="A51" s="53"/>
      <c r="B51" s="53"/>
      <c r="C51" s="53"/>
      <c r="D51" s="53"/>
    </row>
    <row r="52" ht="15.75" customHeight="1">
      <c r="A52" s="53"/>
      <c r="B52" s="53"/>
      <c r="C52" s="53"/>
      <c r="D52" s="53"/>
    </row>
    <row r="53" ht="15.75" customHeight="1">
      <c r="A53" s="53"/>
      <c r="B53" s="53"/>
      <c r="C53" s="53"/>
      <c r="D53" s="53"/>
    </row>
    <row r="54" ht="15.75" customHeight="1">
      <c r="A54" s="53"/>
      <c r="B54" s="53"/>
      <c r="C54" s="53"/>
      <c r="D54" s="53"/>
    </row>
    <row r="55" ht="15.75" customHeight="1">
      <c r="A55" s="53"/>
      <c r="B55" s="53"/>
      <c r="C55" s="53"/>
      <c r="D55" s="53"/>
    </row>
    <row r="56" ht="15.75" customHeight="1">
      <c r="A56" s="53"/>
      <c r="B56" s="53"/>
      <c r="C56" s="53"/>
      <c r="D56" s="53"/>
    </row>
    <row r="57" ht="15.75" customHeight="1">
      <c r="A57" s="53"/>
      <c r="B57" s="53"/>
      <c r="C57" s="53"/>
      <c r="D57" s="53"/>
    </row>
    <row r="58" ht="15.75" customHeight="1">
      <c r="A58" s="53"/>
      <c r="B58" s="53"/>
      <c r="C58" s="53"/>
      <c r="D58" s="53"/>
    </row>
    <row r="59" ht="15.75" customHeight="1">
      <c r="A59" s="53"/>
      <c r="B59" s="53"/>
      <c r="C59" s="53"/>
      <c r="D59" s="53"/>
    </row>
    <row r="60" ht="15.75" customHeight="1">
      <c r="A60" s="53"/>
      <c r="B60" s="53"/>
      <c r="C60" s="53"/>
      <c r="D60" s="53"/>
    </row>
    <row r="61" ht="15.75" customHeight="1">
      <c r="A61" s="53"/>
      <c r="B61" s="53"/>
      <c r="C61" s="53"/>
      <c r="D61" s="53"/>
    </row>
    <row r="62" ht="15.75" customHeight="1">
      <c r="A62" s="53"/>
      <c r="B62" s="53"/>
      <c r="C62" s="53"/>
      <c r="D62" s="53"/>
    </row>
    <row r="63" ht="15.75" customHeight="1">
      <c r="A63" s="53"/>
      <c r="B63" s="53"/>
      <c r="C63" s="53"/>
      <c r="D63" s="53"/>
    </row>
    <row r="64" ht="15.75" customHeight="1">
      <c r="A64" s="53"/>
      <c r="B64" s="53"/>
      <c r="C64" s="53"/>
      <c r="D64" s="53"/>
    </row>
    <row r="65" ht="15.75" customHeight="1">
      <c r="A65" s="53"/>
      <c r="B65" s="53"/>
      <c r="C65" s="53"/>
      <c r="D65" s="53"/>
    </row>
    <row r="66" ht="15.75" customHeight="1">
      <c r="A66" s="53"/>
      <c r="B66" s="53"/>
      <c r="C66" s="53"/>
      <c r="D66" s="53"/>
    </row>
    <row r="67" ht="15.75" customHeight="1">
      <c r="A67" s="53"/>
      <c r="B67" s="53"/>
      <c r="C67" s="53"/>
      <c r="D67" s="53"/>
    </row>
    <row r="68" ht="15.75" customHeight="1">
      <c r="A68" s="53"/>
      <c r="B68" s="53"/>
      <c r="C68" s="53"/>
      <c r="D68" s="53"/>
    </row>
    <row r="69" ht="15.75" customHeight="1">
      <c r="A69" s="53"/>
      <c r="B69" s="53"/>
      <c r="C69" s="53"/>
      <c r="D69" s="53"/>
    </row>
    <row r="70" ht="15.75" customHeight="1">
      <c r="A70" s="53"/>
      <c r="B70" s="53"/>
      <c r="C70" s="53"/>
      <c r="D70" s="53"/>
    </row>
    <row r="71" ht="15.75" customHeight="1">
      <c r="A71" s="53"/>
      <c r="B71" s="53"/>
      <c r="C71" s="53"/>
      <c r="D71" s="53"/>
    </row>
    <row r="72" ht="15.75" customHeight="1">
      <c r="A72" s="53"/>
      <c r="B72" s="53"/>
      <c r="C72" s="53"/>
      <c r="D72" s="53"/>
    </row>
    <row r="73" ht="15.75" customHeight="1">
      <c r="A73" s="53"/>
      <c r="B73" s="53"/>
      <c r="C73" s="53"/>
      <c r="D73" s="53"/>
    </row>
    <row r="74" ht="15.75" customHeight="1">
      <c r="A74" s="53"/>
      <c r="B74" s="53"/>
      <c r="C74" s="53"/>
      <c r="D74" s="53"/>
    </row>
    <row r="75" ht="15.75" customHeight="1">
      <c r="A75" s="53"/>
      <c r="B75" s="53"/>
      <c r="C75" s="53"/>
      <c r="D75" s="53"/>
    </row>
    <row r="76" ht="15.75" customHeight="1">
      <c r="A76" s="53"/>
      <c r="B76" s="53"/>
      <c r="C76" s="53"/>
      <c r="D76" s="53"/>
    </row>
    <row r="77" ht="15.75" customHeight="1">
      <c r="A77" s="53"/>
      <c r="B77" s="53"/>
      <c r="C77" s="53"/>
      <c r="D77" s="53"/>
    </row>
    <row r="78" ht="15.75" customHeight="1">
      <c r="A78" s="53"/>
      <c r="B78" s="53"/>
      <c r="C78" s="53"/>
      <c r="D78" s="53"/>
    </row>
    <row r="79" ht="15.75" customHeight="1">
      <c r="A79" s="53"/>
      <c r="B79" s="53"/>
      <c r="C79" s="53"/>
      <c r="D79" s="53"/>
    </row>
    <row r="80" ht="15.75" customHeight="1">
      <c r="A80" s="53"/>
      <c r="B80" s="53"/>
      <c r="C80" s="53"/>
      <c r="D80" s="53"/>
    </row>
    <row r="81" ht="15.75" customHeight="1">
      <c r="A81" s="53"/>
      <c r="B81" s="53"/>
      <c r="C81" s="53"/>
      <c r="D81" s="53"/>
    </row>
    <row r="82" ht="15.75" customHeight="1">
      <c r="A82" s="53"/>
      <c r="B82" s="53"/>
      <c r="C82" s="53"/>
      <c r="D82" s="53"/>
    </row>
    <row r="83" ht="15.75" customHeight="1">
      <c r="A83" s="53"/>
      <c r="B83" s="53"/>
      <c r="C83" s="53"/>
      <c r="D83" s="53"/>
    </row>
    <row r="84" ht="15.75" customHeight="1">
      <c r="A84" s="53"/>
      <c r="B84" s="53"/>
      <c r="C84" s="53"/>
      <c r="D84" s="53"/>
    </row>
    <row r="85" ht="15.75" customHeight="1">
      <c r="A85" s="53"/>
      <c r="B85" s="53"/>
      <c r="C85" s="53"/>
      <c r="D85" s="53"/>
    </row>
    <row r="86" ht="15.75" customHeight="1">
      <c r="A86" s="53"/>
      <c r="B86" s="53"/>
      <c r="C86" s="53"/>
      <c r="D86" s="53"/>
    </row>
    <row r="87" ht="15.75" customHeight="1">
      <c r="A87" s="53"/>
      <c r="B87" s="53"/>
      <c r="C87" s="53"/>
      <c r="D87" s="53"/>
    </row>
    <row r="88" ht="15.75" customHeight="1">
      <c r="A88" s="53"/>
      <c r="B88" s="53"/>
      <c r="C88" s="53"/>
      <c r="D88" s="53"/>
    </row>
    <row r="89" ht="15.75" customHeight="1">
      <c r="A89" s="53"/>
      <c r="B89" s="53"/>
      <c r="C89" s="53"/>
      <c r="D89" s="53"/>
    </row>
    <row r="90" ht="15.75" customHeight="1">
      <c r="A90" s="53"/>
      <c r="B90" s="53"/>
      <c r="C90" s="53"/>
      <c r="D90" s="53"/>
    </row>
    <row r="91" ht="15.75" customHeight="1">
      <c r="A91" s="53"/>
      <c r="B91" s="53"/>
      <c r="C91" s="53"/>
      <c r="D91" s="53"/>
    </row>
    <row r="92" ht="15.75" customHeight="1">
      <c r="A92" s="53"/>
      <c r="B92" s="53"/>
      <c r="C92" s="53"/>
      <c r="D92" s="53"/>
    </row>
    <row r="93" ht="15.75" customHeight="1">
      <c r="A93" s="53"/>
      <c r="B93" s="53"/>
      <c r="C93" s="53"/>
      <c r="D93" s="53"/>
    </row>
    <row r="94" ht="15.75" customHeight="1">
      <c r="A94" s="53"/>
      <c r="B94" s="53"/>
      <c r="C94" s="53"/>
      <c r="D94" s="53"/>
    </row>
    <row r="95" ht="15.75" customHeight="1">
      <c r="A95" s="53"/>
      <c r="B95" s="53"/>
      <c r="C95" s="53"/>
      <c r="D95" s="53"/>
    </row>
    <row r="96" ht="15.75" customHeight="1">
      <c r="A96" s="53"/>
      <c r="B96" s="53"/>
      <c r="C96" s="53"/>
      <c r="D96" s="53"/>
    </row>
    <row r="97" ht="15.75" customHeight="1">
      <c r="A97" s="53"/>
      <c r="B97" s="53"/>
      <c r="C97" s="53"/>
      <c r="D97" s="53"/>
    </row>
    <row r="98" ht="15.75" customHeight="1">
      <c r="A98" s="53"/>
      <c r="B98" s="53"/>
      <c r="C98" s="53"/>
      <c r="D98" s="53"/>
    </row>
    <row r="99" ht="15.75" customHeight="1">
      <c r="A99" s="53"/>
      <c r="B99" s="53"/>
      <c r="C99" s="53"/>
      <c r="D99" s="53"/>
    </row>
    <row r="100" ht="15.75" customHeight="1">
      <c r="A100" s="53"/>
      <c r="B100" s="53"/>
      <c r="C100" s="53"/>
      <c r="D100" s="53"/>
    </row>
    <row r="101" ht="15.75" customHeight="1">
      <c r="A101" s="53"/>
      <c r="B101" s="53"/>
      <c r="C101" s="53"/>
      <c r="D101" s="53"/>
    </row>
    <row r="102" ht="15.75" customHeight="1">
      <c r="A102" s="53"/>
      <c r="B102" s="53"/>
      <c r="C102" s="53"/>
      <c r="D102" s="53"/>
    </row>
    <row r="103" ht="15.75" customHeight="1">
      <c r="A103" s="53"/>
      <c r="B103" s="53"/>
      <c r="C103" s="53"/>
      <c r="D103" s="53"/>
    </row>
    <row r="104" ht="15.75" customHeight="1">
      <c r="A104" s="53"/>
      <c r="B104" s="53"/>
      <c r="C104" s="53"/>
      <c r="D104" s="53"/>
    </row>
    <row r="105" ht="15.75" customHeight="1">
      <c r="A105" s="53"/>
      <c r="B105" s="53"/>
      <c r="C105" s="53"/>
      <c r="D105" s="53"/>
    </row>
    <row r="106" ht="15.75" customHeight="1">
      <c r="A106" s="53"/>
      <c r="B106" s="53"/>
      <c r="C106" s="53"/>
      <c r="D106" s="53"/>
    </row>
    <row r="107" ht="15.75" customHeight="1">
      <c r="A107" s="53"/>
      <c r="B107" s="53"/>
      <c r="C107" s="53"/>
      <c r="D107" s="53"/>
    </row>
    <row r="108" ht="15.75" customHeight="1">
      <c r="A108" s="53"/>
      <c r="B108" s="53"/>
      <c r="C108" s="53"/>
      <c r="D108" s="53"/>
    </row>
    <row r="109" ht="15.75" customHeight="1">
      <c r="A109" s="53"/>
      <c r="B109" s="53"/>
      <c r="C109" s="53"/>
      <c r="D109" s="53"/>
    </row>
    <row r="110" ht="15.75" customHeight="1">
      <c r="A110" s="53"/>
      <c r="B110" s="53"/>
      <c r="C110" s="53"/>
      <c r="D110" s="53"/>
    </row>
    <row r="111" ht="15.75" customHeight="1">
      <c r="A111" s="53"/>
      <c r="B111" s="53"/>
      <c r="C111" s="53"/>
      <c r="D111" s="53"/>
    </row>
    <row r="112" ht="15.75" customHeight="1">
      <c r="A112" s="53"/>
      <c r="B112" s="53"/>
      <c r="C112" s="53"/>
      <c r="D112" s="53"/>
    </row>
    <row r="113" ht="15.75" customHeight="1">
      <c r="A113" s="53"/>
      <c r="B113" s="53"/>
      <c r="C113" s="53"/>
      <c r="D113" s="53"/>
    </row>
    <row r="114" ht="15.75" customHeight="1">
      <c r="A114" s="53"/>
      <c r="B114" s="53"/>
      <c r="C114" s="53"/>
      <c r="D114" s="53"/>
    </row>
    <row r="115" ht="15.75" customHeight="1">
      <c r="A115" s="53"/>
      <c r="B115" s="53"/>
      <c r="C115" s="53"/>
      <c r="D115" s="53"/>
    </row>
    <row r="116" ht="15.75" customHeight="1">
      <c r="A116" s="53"/>
      <c r="B116" s="53"/>
      <c r="C116" s="53"/>
      <c r="D116" s="53"/>
    </row>
    <row r="117" ht="15.75" customHeight="1">
      <c r="A117" s="53"/>
      <c r="B117" s="53"/>
      <c r="C117" s="53"/>
      <c r="D117" s="53"/>
    </row>
    <row r="118" ht="15.75" customHeight="1">
      <c r="A118" s="53"/>
      <c r="B118" s="53"/>
      <c r="C118" s="53"/>
      <c r="D118" s="53"/>
    </row>
    <row r="119" ht="15.75" customHeight="1">
      <c r="A119" s="53"/>
      <c r="B119" s="53"/>
      <c r="C119" s="53"/>
      <c r="D119" s="53"/>
    </row>
    <row r="120" ht="15.75" customHeight="1">
      <c r="A120" s="53"/>
      <c r="B120" s="53"/>
      <c r="C120" s="53"/>
      <c r="D120" s="53"/>
    </row>
    <row r="121" ht="15.75" customHeight="1">
      <c r="A121" s="53"/>
      <c r="B121" s="53"/>
      <c r="C121" s="53"/>
      <c r="D121" s="53"/>
    </row>
    <row r="122" ht="15.75" customHeight="1">
      <c r="A122" s="53"/>
      <c r="B122" s="53"/>
      <c r="C122" s="53"/>
      <c r="D122" s="53"/>
    </row>
    <row r="123" ht="15.75" customHeight="1">
      <c r="A123" s="53"/>
      <c r="B123" s="53"/>
      <c r="C123" s="53"/>
      <c r="D123" s="53"/>
    </row>
    <row r="124" ht="15.75" customHeight="1">
      <c r="A124" s="53"/>
      <c r="B124" s="53"/>
      <c r="C124" s="53"/>
      <c r="D124" s="53"/>
    </row>
    <row r="125" ht="15.75" customHeight="1">
      <c r="A125" s="53"/>
      <c r="B125" s="53"/>
      <c r="C125" s="53"/>
      <c r="D125" s="53"/>
    </row>
    <row r="126" ht="15.75" customHeight="1">
      <c r="A126" s="53"/>
      <c r="B126" s="53"/>
      <c r="C126" s="53"/>
      <c r="D126" s="53"/>
    </row>
    <row r="127" ht="15.75" customHeight="1">
      <c r="A127" s="53"/>
      <c r="B127" s="53"/>
      <c r="C127" s="53"/>
      <c r="D127" s="53"/>
    </row>
    <row r="128" ht="15.75" customHeight="1">
      <c r="A128" s="53"/>
      <c r="B128" s="53"/>
      <c r="C128" s="53"/>
      <c r="D128" s="53"/>
    </row>
    <row r="129" ht="15.75" customHeight="1">
      <c r="A129" s="53"/>
      <c r="B129" s="53"/>
      <c r="C129" s="53"/>
      <c r="D129" s="53"/>
    </row>
    <row r="130" ht="15.75" customHeight="1">
      <c r="A130" s="53"/>
      <c r="B130" s="53"/>
      <c r="C130" s="53"/>
      <c r="D130" s="53"/>
    </row>
    <row r="131" ht="15.75" customHeight="1">
      <c r="A131" s="53"/>
      <c r="B131" s="53"/>
      <c r="C131" s="53"/>
      <c r="D131" s="53"/>
    </row>
    <row r="132" ht="15.75" customHeight="1">
      <c r="A132" s="53"/>
      <c r="B132" s="53"/>
      <c r="C132" s="53"/>
      <c r="D132" s="53"/>
    </row>
    <row r="133" ht="15.75" customHeight="1">
      <c r="A133" s="53"/>
      <c r="B133" s="53"/>
      <c r="C133" s="53"/>
      <c r="D133" s="53"/>
    </row>
    <row r="134" ht="15.75" customHeight="1">
      <c r="A134" s="53"/>
      <c r="B134" s="53"/>
      <c r="C134" s="53"/>
      <c r="D134" s="53"/>
    </row>
    <row r="135" ht="15.75" customHeight="1">
      <c r="A135" s="53"/>
      <c r="B135" s="53"/>
      <c r="C135" s="53"/>
      <c r="D135" s="53"/>
    </row>
    <row r="136" ht="15.75" customHeight="1">
      <c r="A136" s="53"/>
      <c r="B136" s="53"/>
      <c r="C136" s="53"/>
      <c r="D136" s="53"/>
    </row>
    <row r="137" ht="15.75" customHeight="1">
      <c r="A137" s="53"/>
      <c r="B137" s="53"/>
      <c r="C137" s="53"/>
      <c r="D137" s="53"/>
    </row>
    <row r="138" ht="15.75" customHeight="1">
      <c r="A138" s="53"/>
      <c r="B138" s="53"/>
      <c r="C138" s="53"/>
      <c r="D138" s="53"/>
    </row>
    <row r="139" ht="15.75" customHeight="1">
      <c r="A139" s="53"/>
      <c r="B139" s="53"/>
      <c r="C139" s="53"/>
      <c r="D139" s="53"/>
    </row>
    <row r="140" ht="15.75" customHeight="1">
      <c r="A140" s="53"/>
      <c r="B140" s="53"/>
      <c r="C140" s="53"/>
      <c r="D140" s="53"/>
    </row>
    <row r="141" ht="15.75" customHeight="1">
      <c r="A141" s="53"/>
      <c r="B141" s="53"/>
      <c r="C141" s="53"/>
      <c r="D141" s="53"/>
    </row>
    <row r="142" ht="15.75" customHeight="1">
      <c r="A142" s="53"/>
      <c r="B142" s="53"/>
      <c r="C142" s="53"/>
      <c r="D142" s="53"/>
    </row>
    <row r="143" ht="15.75" customHeight="1">
      <c r="A143" s="53"/>
      <c r="B143" s="53"/>
      <c r="C143" s="53"/>
      <c r="D143" s="53"/>
    </row>
    <row r="144" ht="15.75" customHeight="1">
      <c r="A144" s="53"/>
      <c r="B144" s="53"/>
      <c r="C144" s="53"/>
      <c r="D144" s="53"/>
    </row>
    <row r="145" ht="15.75" customHeight="1">
      <c r="A145" s="53"/>
      <c r="B145" s="53"/>
      <c r="C145" s="53"/>
      <c r="D145" s="53"/>
    </row>
    <row r="146" ht="15.75" customHeight="1">
      <c r="A146" s="53"/>
      <c r="B146" s="53"/>
      <c r="C146" s="53"/>
      <c r="D146" s="53"/>
    </row>
    <row r="147" ht="15.75" customHeight="1">
      <c r="A147" s="53"/>
      <c r="B147" s="53"/>
      <c r="C147" s="53"/>
      <c r="D147" s="53"/>
    </row>
    <row r="148" ht="15.75" customHeight="1">
      <c r="A148" s="53"/>
      <c r="B148" s="53"/>
      <c r="C148" s="53"/>
      <c r="D148" s="53"/>
    </row>
    <row r="149" ht="15.75" customHeight="1">
      <c r="A149" s="53"/>
      <c r="B149" s="53"/>
      <c r="C149" s="53"/>
      <c r="D149" s="53"/>
    </row>
    <row r="150" ht="15.75" customHeight="1">
      <c r="A150" s="53"/>
      <c r="B150" s="53"/>
      <c r="C150" s="53"/>
      <c r="D150" s="53"/>
    </row>
    <row r="151" ht="15.75" customHeight="1">
      <c r="A151" s="53"/>
      <c r="B151" s="53"/>
      <c r="C151" s="53"/>
      <c r="D151" s="53"/>
    </row>
    <row r="152" ht="15.75" customHeight="1">
      <c r="A152" s="53"/>
      <c r="B152" s="53"/>
      <c r="C152" s="53"/>
      <c r="D152" s="53"/>
    </row>
    <row r="153" ht="15.75" customHeight="1">
      <c r="A153" s="53"/>
      <c r="B153" s="53"/>
      <c r="C153" s="53"/>
      <c r="D153" s="53"/>
    </row>
    <row r="154" ht="15.75" customHeight="1">
      <c r="A154" s="53"/>
      <c r="B154" s="53"/>
      <c r="C154" s="53"/>
      <c r="D154" s="53"/>
    </row>
    <row r="155" ht="15.75" customHeight="1">
      <c r="A155" s="53"/>
      <c r="B155" s="53"/>
      <c r="C155" s="53"/>
      <c r="D155" s="53"/>
    </row>
    <row r="156" ht="15.75" customHeight="1">
      <c r="A156" s="53"/>
      <c r="B156" s="53"/>
      <c r="C156" s="53"/>
      <c r="D156" s="53"/>
    </row>
    <row r="157" ht="15.75" customHeight="1">
      <c r="A157" s="53"/>
      <c r="B157" s="53"/>
      <c r="C157" s="53"/>
      <c r="D157" s="53"/>
    </row>
    <row r="158" ht="15.75" customHeight="1">
      <c r="A158" s="53"/>
      <c r="B158" s="53"/>
      <c r="C158" s="53"/>
      <c r="D158" s="53"/>
    </row>
    <row r="159" ht="15.75" customHeight="1">
      <c r="A159" s="53"/>
      <c r="B159" s="53"/>
      <c r="C159" s="53"/>
      <c r="D159" s="53"/>
    </row>
    <row r="160" ht="15.75" customHeight="1">
      <c r="A160" s="53"/>
      <c r="B160" s="53"/>
      <c r="C160" s="53"/>
      <c r="D160" s="53"/>
    </row>
    <row r="161" ht="15.75" customHeight="1">
      <c r="A161" s="53"/>
      <c r="B161" s="53"/>
      <c r="C161" s="53"/>
      <c r="D161" s="53"/>
    </row>
    <row r="162" ht="15.75" customHeight="1">
      <c r="A162" s="53"/>
      <c r="B162" s="53"/>
      <c r="C162" s="53"/>
      <c r="D162" s="53"/>
    </row>
    <row r="163" ht="15.75" customHeight="1">
      <c r="A163" s="53"/>
      <c r="B163" s="53"/>
      <c r="C163" s="53"/>
      <c r="D163" s="53"/>
    </row>
    <row r="164" ht="15.75" customHeight="1">
      <c r="A164" s="53"/>
      <c r="B164" s="53"/>
      <c r="C164" s="53"/>
      <c r="D164" s="53"/>
    </row>
    <row r="165" ht="15.75" customHeight="1">
      <c r="A165" s="53"/>
      <c r="B165" s="53"/>
      <c r="C165" s="53"/>
      <c r="D165" s="53"/>
    </row>
    <row r="166" ht="15.75" customHeight="1">
      <c r="A166" s="53"/>
      <c r="B166" s="53"/>
      <c r="C166" s="53"/>
      <c r="D166" s="53"/>
    </row>
    <row r="167" ht="15.75" customHeight="1">
      <c r="A167" s="53"/>
      <c r="B167" s="53"/>
      <c r="C167" s="53"/>
      <c r="D167" s="53"/>
    </row>
    <row r="168" ht="15.75" customHeight="1">
      <c r="A168" s="53"/>
      <c r="B168" s="53"/>
      <c r="C168" s="53"/>
      <c r="D168" s="53"/>
    </row>
    <row r="169" ht="15.75" customHeight="1">
      <c r="A169" s="53"/>
      <c r="B169" s="53"/>
      <c r="C169" s="53"/>
      <c r="D169" s="53"/>
    </row>
    <row r="170" ht="15.75" customHeight="1">
      <c r="A170" s="53"/>
      <c r="B170" s="53"/>
      <c r="C170" s="53"/>
      <c r="D170" s="53"/>
    </row>
    <row r="171" ht="15.75" customHeight="1">
      <c r="A171" s="53"/>
      <c r="B171" s="53"/>
      <c r="C171" s="53"/>
      <c r="D171" s="53"/>
    </row>
    <row r="172" ht="15.75" customHeight="1">
      <c r="A172" s="53"/>
      <c r="B172" s="53"/>
      <c r="C172" s="53"/>
      <c r="D172" s="53"/>
    </row>
    <row r="173" ht="15.75" customHeight="1">
      <c r="A173" s="53"/>
      <c r="B173" s="53"/>
      <c r="C173" s="53"/>
      <c r="D173" s="53"/>
    </row>
    <row r="174" ht="15.75" customHeight="1">
      <c r="A174" s="53"/>
      <c r="B174" s="53"/>
      <c r="C174" s="53"/>
      <c r="D174" s="53"/>
    </row>
    <row r="175" ht="15.75" customHeight="1">
      <c r="A175" s="53"/>
      <c r="B175" s="53"/>
      <c r="C175" s="53"/>
      <c r="D175" s="53"/>
    </row>
    <row r="176" ht="15.75" customHeight="1">
      <c r="A176" s="53"/>
      <c r="B176" s="53"/>
      <c r="C176" s="53"/>
      <c r="D176" s="53"/>
    </row>
    <row r="177" ht="15.75" customHeight="1">
      <c r="A177" s="53"/>
      <c r="B177" s="53"/>
      <c r="C177" s="53"/>
      <c r="D177" s="53"/>
    </row>
    <row r="178" ht="15.75" customHeight="1">
      <c r="A178" s="53"/>
      <c r="B178" s="53"/>
      <c r="C178" s="53"/>
      <c r="D178" s="53"/>
    </row>
    <row r="179" ht="15.75" customHeight="1">
      <c r="A179" s="53"/>
      <c r="B179" s="53"/>
      <c r="C179" s="53"/>
      <c r="D179" s="53"/>
    </row>
    <row r="180" ht="15.75" customHeight="1">
      <c r="A180" s="53"/>
      <c r="B180" s="53"/>
      <c r="C180" s="53"/>
      <c r="D180" s="53"/>
    </row>
    <row r="181" ht="15.75" customHeight="1">
      <c r="A181" s="53"/>
      <c r="B181" s="53"/>
      <c r="C181" s="53"/>
      <c r="D181" s="53"/>
    </row>
    <row r="182" ht="15.75" customHeight="1">
      <c r="A182" s="53"/>
      <c r="B182" s="53"/>
      <c r="C182" s="53"/>
      <c r="D182" s="53"/>
    </row>
    <row r="183" ht="15.75" customHeight="1">
      <c r="A183" s="53"/>
      <c r="B183" s="53"/>
      <c r="C183" s="53"/>
      <c r="D183" s="53"/>
    </row>
    <row r="184" ht="15.75" customHeight="1">
      <c r="A184" s="53"/>
      <c r="B184" s="53"/>
      <c r="C184" s="53"/>
      <c r="D184" s="53"/>
    </row>
    <row r="185" ht="15.75" customHeight="1">
      <c r="A185" s="53"/>
      <c r="B185" s="53"/>
      <c r="C185" s="53"/>
      <c r="D185" s="53"/>
    </row>
    <row r="186" ht="15.75" customHeight="1">
      <c r="A186" s="53"/>
      <c r="B186" s="53"/>
      <c r="C186" s="53"/>
      <c r="D186" s="53"/>
    </row>
    <row r="187" ht="15.75" customHeight="1">
      <c r="A187" s="53"/>
      <c r="B187" s="53"/>
      <c r="C187" s="53"/>
      <c r="D187" s="53"/>
    </row>
    <row r="188" ht="15.75" customHeight="1">
      <c r="A188" s="53"/>
      <c r="B188" s="53"/>
      <c r="C188" s="53"/>
      <c r="D188" s="53"/>
    </row>
    <row r="189" ht="15.75" customHeight="1">
      <c r="A189" s="53"/>
      <c r="B189" s="53"/>
      <c r="C189" s="53"/>
      <c r="D189" s="53"/>
    </row>
    <row r="190" ht="15.75" customHeight="1">
      <c r="A190" s="53"/>
      <c r="B190" s="53"/>
      <c r="C190" s="53"/>
      <c r="D190" s="53"/>
    </row>
    <row r="191" ht="15.75" customHeight="1">
      <c r="A191" s="53"/>
      <c r="B191" s="53"/>
      <c r="C191" s="53"/>
      <c r="D191" s="53"/>
    </row>
    <row r="192" ht="15.75" customHeight="1">
      <c r="A192" s="53"/>
      <c r="B192" s="53"/>
      <c r="C192" s="53"/>
      <c r="D192" s="53"/>
    </row>
    <row r="193" ht="15.75" customHeight="1">
      <c r="A193" s="53"/>
      <c r="B193" s="53"/>
      <c r="C193" s="53"/>
      <c r="D193" s="53"/>
    </row>
    <row r="194" ht="15.75" customHeight="1">
      <c r="A194" s="53"/>
      <c r="B194" s="53"/>
      <c r="C194" s="53"/>
      <c r="D194" s="53"/>
    </row>
    <row r="195" ht="15.75" customHeight="1">
      <c r="A195" s="53"/>
      <c r="B195" s="53"/>
      <c r="C195" s="53"/>
      <c r="D195" s="53"/>
    </row>
    <row r="196" ht="15.75" customHeight="1">
      <c r="A196" s="53"/>
      <c r="B196" s="53"/>
      <c r="C196" s="53"/>
      <c r="D196" s="53"/>
    </row>
    <row r="197" ht="15.75" customHeight="1">
      <c r="A197" s="53"/>
      <c r="B197" s="53"/>
      <c r="C197" s="53"/>
      <c r="D197" s="53"/>
    </row>
    <row r="198" ht="15.75" customHeight="1">
      <c r="A198" s="53"/>
      <c r="B198" s="53"/>
      <c r="C198" s="53"/>
      <c r="D198" s="53"/>
    </row>
    <row r="199" ht="15.75" customHeight="1">
      <c r="A199" s="53"/>
      <c r="B199" s="53"/>
      <c r="C199" s="53"/>
      <c r="D199" s="53"/>
    </row>
    <row r="200" ht="15.75" customHeight="1">
      <c r="A200" s="53"/>
      <c r="B200" s="53"/>
      <c r="C200" s="53"/>
      <c r="D200" s="53"/>
    </row>
    <row r="201" ht="15.75" customHeight="1">
      <c r="A201" s="53"/>
      <c r="B201" s="53"/>
      <c r="C201" s="53"/>
      <c r="D201" s="53"/>
    </row>
    <row r="202" ht="15.75" customHeight="1">
      <c r="A202" s="53"/>
      <c r="B202" s="53"/>
      <c r="C202" s="53"/>
      <c r="D202" s="53"/>
    </row>
    <row r="203" ht="15.75" customHeight="1">
      <c r="A203" s="53"/>
      <c r="B203" s="53"/>
      <c r="C203" s="53"/>
      <c r="D203" s="53"/>
    </row>
    <row r="204" ht="15.75" customHeight="1">
      <c r="A204" s="53"/>
      <c r="B204" s="53"/>
      <c r="C204" s="53"/>
      <c r="D204" s="53"/>
    </row>
    <row r="205" ht="15.75" customHeight="1">
      <c r="A205" s="53"/>
      <c r="B205" s="53"/>
      <c r="C205" s="53"/>
      <c r="D205" s="53"/>
    </row>
    <row r="206" ht="15.75" customHeight="1">
      <c r="A206" s="53"/>
      <c r="B206" s="53"/>
      <c r="C206" s="53"/>
      <c r="D206" s="53"/>
    </row>
    <row r="207" ht="15.75" customHeight="1">
      <c r="A207" s="53"/>
      <c r="B207" s="53"/>
      <c r="C207" s="53"/>
      <c r="D207" s="53"/>
    </row>
    <row r="208" ht="15.75" customHeight="1">
      <c r="A208" s="53"/>
      <c r="B208" s="53"/>
      <c r="C208" s="53"/>
      <c r="D208" s="53"/>
    </row>
    <row r="209" ht="15.75" customHeight="1">
      <c r="A209" s="53"/>
      <c r="B209" s="53"/>
      <c r="C209" s="53"/>
      <c r="D209" s="53"/>
    </row>
    <row r="210" ht="15.75" customHeight="1">
      <c r="A210" s="53"/>
      <c r="B210" s="53"/>
      <c r="C210" s="53"/>
      <c r="D210" s="53"/>
    </row>
    <row r="211" ht="15.75" customHeight="1">
      <c r="A211" s="53"/>
      <c r="B211" s="53"/>
      <c r="C211" s="53"/>
      <c r="D211" s="53"/>
    </row>
    <row r="212" ht="15.75" customHeight="1">
      <c r="A212" s="53"/>
      <c r="B212" s="53"/>
      <c r="C212" s="53"/>
      <c r="D212" s="53"/>
    </row>
    <row r="213" ht="15.75" customHeight="1">
      <c r="A213" s="53"/>
      <c r="B213" s="53"/>
      <c r="C213" s="53"/>
      <c r="D213" s="53"/>
    </row>
    <row r="214" ht="15.75" customHeight="1">
      <c r="A214" s="53"/>
      <c r="B214" s="53"/>
      <c r="C214" s="53"/>
      <c r="D214" s="53"/>
    </row>
    <row r="215" ht="15.75" customHeight="1">
      <c r="A215" s="53"/>
      <c r="B215" s="53"/>
      <c r="C215" s="53"/>
      <c r="D215" s="53"/>
    </row>
    <row r="216" ht="15.75" customHeight="1">
      <c r="A216" s="53"/>
      <c r="B216" s="53"/>
      <c r="C216" s="53"/>
      <c r="D216" s="53"/>
    </row>
    <row r="217" ht="15.75" customHeight="1">
      <c r="A217" s="53"/>
      <c r="B217" s="53"/>
      <c r="C217" s="53"/>
      <c r="D217" s="53"/>
    </row>
    <row r="218" ht="15.75" customHeight="1">
      <c r="A218" s="53"/>
      <c r="B218" s="53"/>
      <c r="C218" s="53"/>
      <c r="D218" s="53"/>
    </row>
    <row r="219" ht="15.75" customHeight="1">
      <c r="A219" s="53"/>
      <c r="B219" s="53"/>
      <c r="C219" s="53"/>
      <c r="D219" s="53"/>
    </row>
    <row r="220" ht="15.75" customHeight="1">
      <c r="A220" s="53"/>
      <c r="B220" s="53"/>
      <c r="C220" s="53"/>
      <c r="D220" s="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5.38"/>
    <col customWidth="1" min="2" max="2" width="22.75"/>
    <col customWidth="1" min="3" max="3" width="13.25"/>
    <col customWidth="1" min="4" max="4" width="15.38"/>
    <col customWidth="1" min="5" max="11" width="13.25"/>
    <col customWidth="1" min="12" max="26" width="11.0"/>
  </cols>
  <sheetData>
    <row r="1" ht="15.75" customHeight="1">
      <c r="A1" s="162" t="str">
        <f>IFERROR(__xludf.DUMMYFUNCTION("IMPORTRANGE(""https://docs.google.com/spreadsheets/d/1yB8EoyXPqqx3RB0T7HMn-MLOhyLX9FgyVr4swT_O7Go/edit?gid=0#gid=0"",""診療科!A:K"")"),"#REF!")</f>
        <v>#REF!</v>
      </c>
      <c r="B1" s="162"/>
      <c r="C1" s="162"/>
      <c r="D1" s="162"/>
      <c r="E1" s="162"/>
      <c r="F1" s="162"/>
      <c r="G1" s="162"/>
      <c r="H1" s="162"/>
      <c r="I1" s="162"/>
      <c r="J1" s="162"/>
      <c r="K1" s="162"/>
      <c r="M1" s="163" t="s">
        <v>409</v>
      </c>
    </row>
    <row r="2" ht="15.75" customHeight="1">
      <c r="A2" s="53"/>
      <c r="B2" s="53"/>
      <c r="C2" s="53"/>
      <c r="D2" s="53"/>
      <c r="E2" s="53"/>
      <c r="F2" s="53"/>
      <c r="G2" s="53"/>
      <c r="H2" s="53"/>
      <c r="I2" s="53"/>
      <c r="J2" s="53"/>
      <c r="K2" s="53"/>
      <c r="M2" s="164" t="s">
        <v>410</v>
      </c>
    </row>
    <row r="3" ht="15.75" customHeight="1">
      <c r="A3" s="53"/>
      <c r="B3" s="53"/>
      <c r="C3" s="53"/>
      <c r="D3" s="53"/>
      <c r="E3" s="53"/>
      <c r="F3" s="53"/>
      <c r="G3" s="53"/>
      <c r="H3" s="53"/>
      <c r="I3" s="53"/>
      <c r="J3" s="53"/>
      <c r="K3" s="53"/>
    </row>
    <row r="4" ht="15.75" customHeight="1">
      <c r="A4" s="53"/>
      <c r="B4" s="53"/>
      <c r="C4" s="53"/>
      <c r="D4" s="53"/>
      <c r="E4" s="53"/>
      <c r="F4" s="53"/>
      <c r="G4" s="53"/>
      <c r="H4" s="53"/>
      <c r="I4" s="53"/>
      <c r="J4" s="53"/>
      <c r="K4" s="53"/>
    </row>
    <row r="5" ht="15.75" customHeight="1">
      <c r="A5" s="53"/>
      <c r="B5" s="53"/>
      <c r="C5" s="53"/>
      <c r="D5" s="53"/>
      <c r="E5" s="53"/>
      <c r="F5" s="53"/>
      <c r="G5" s="53"/>
      <c r="H5" s="53"/>
      <c r="I5" s="53"/>
      <c r="J5" s="53"/>
      <c r="K5" s="53"/>
    </row>
    <row r="6" ht="15.75" customHeight="1">
      <c r="A6" s="53"/>
      <c r="B6" s="53"/>
      <c r="C6" s="53"/>
      <c r="D6" s="53"/>
      <c r="E6" s="53"/>
      <c r="F6" s="53"/>
      <c r="G6" s="53"/>
      <c r="H6" s="53"/>
      <c r="I6" s="53"/>
      <c r="J6" s="53"/>
      <c r="K6" s="53"/>
    </row>
    <row r="7" ht="15.75" customHeight="1">
      <c r="A7" s="53"/>
      <c r="B7" s="53"/>
      <c r="C7" s="53"/>
      <c r="D7" s="53"/>
      <c r="E7" s="53"/>
      <c r="F7" s="53"/>
      <c r="G7" s="53"/>
      <c r="H7" s="53"/>
      <c r="I7" s="53"/>
      <c r="J7" s="53"/>
      <c r="K7" s="53"/>
    </row>
    <row r="8" ht="15.75" customHeight="1">
      <c r="A8" s="53"/>
      <c r="B8" s="53"/>
      <c r="C8" s="53"/>
      <c r="D8" s="53"/>
      <c r="E8" s="53"/>
      <c r="F8" s="53"/>
      <c r="G8" s="53"/>
      <c r="H8" s="158"/>
      <c r="I8" s="53"/>
      <c r="J8" s="53"/>
      <c r="K8" s="53"/>
    </row>
    <row r="9" ht="15.75" customHeight="1">
      <c r="A9" s="53"/>
      <c r="B9" s="53"/>
      <c r="C9" s="53"/>
      <c r="D9" s="53"/>
      <c r="E9" s="53"/>
      <c r="F9" s="53"/>
      <c r="G9" s="53"/>
      <c r="H9" s="53"/>
      <c r="I9" s="53"/>
      <c r="J9" s="53"/>
      <c r="K9" s="53"/>
    </row>
    <row r="10" ht="15.75" customHeight="1">
      <c r="A10" s="53"/>
      <c r="B10" s="53"/>
      <c r="C10" s="53"/>
      <c r="D10" s="53"/>
      <c r="E10" s="53"/>
      <c r="F10" s="53"/>
      <c r="G10" s="53"/>
      <c r="H10" s="53"/>
      <c r="I10" s="53"/>
      <c r="J10" s="53"/>
      <c r="K10" s="53"/>
    </row>
    <row r="11" ht="15.75" customHeight="1">
      <c r="A11" s="53"/>
      <c r="B11" s="53"/>
      <c r="C11" s="53"/>
      <c r="D11" s="53"/>
      <c r="E11" s="53"/>
      <c r="F11" s="53"/>
      <c r="G11" s="53"/>
      <c r="H11" s="53"/>
      <c r="I11" s="53"/>
      <c r="J11" s="53"/>
      <c r="K11" s="53"/>
    </row>
    <row r="12" ht="15.75" customHeight="1">
      <c r="A12" s="53"/>
      <c r="B12" s="53"/>
      <c r="C12" s="53"/>
      <c r="D12" s="165"/>
      <c r="E12" s="53"/>
      <c r="F12" s="53"/>
      <c r="G12" s="53"/>
      <c r="H12" s="53"/>
      <c r="I12" s="53"/>
      <c r="J12" s="53"/>
      <c r="K12" s="53"/>
    </row>
    <row r="13" ht="15.75" customHeight="1">
      <c r="A13" s="53"/>
      <c r="B13" s="53"/>
      <c r="C13" s="53"/>
      <c r="D13" s="53"/>
      <c r="E13" s="53"/>
      <c r="F13" s="53"/>
      <c r="G13" s="53"/>
      <c r="H13" s="53"/>
      <c r="I13" s="53"/>
      <c r="J13" s="53"/>
      <c r="K13" s="53"/>
    </row>
    <row r="14" ht="15.75" customHeight="1">
      <c r="A14" s="53"/>
      <c r="B14" s="53"/>
      <c r="C14" s="53"/>
      <c r="D14" s="53"/>
      <c r="E14" s="53"/>
      <c r="F14" s="53"/>
      <c r="G14" s="53"/>
      <c r="H14" s="53"/>
      <c r="I14" s="53"/>
      <c r="J14" s="53"/>
      <c r="K14" s="53"/>
    </row>
    <row r="15" ht="15.75" customHeight="1">
      <c r="A15" s="53"/>
      <c r="B15" s="53"/>
      <c r="C15" s="53"/>
      <c r="D15" s="53"/>
      <c r="E15" s="53"/>
      <c r="F15" s="53"/>
      <c r="G15" s="53"/>
      <c r="H15" s="53"/>
      <c r="I15" s="53"/>
      <c r="J15" s="53"/>
      <c r="K15" s="53"/>
    </row>
    <row r="16" ht="15.75" customHeight="1">
      <c r="A16" s="53"/>
      <c r="B16" s="53"/>
      <c r="C16" s="53"/>
      <c r="D16" s="53"/>
      <c r="E16" s="53"/>
      <c r="F16" s="53"/>
      <c r="G16" s="53"/>
      <c r="H16" s="53"/>
      <c r="I16" s="53"/>
      <c r="J16" s="53"/>
      <c r="K16" s="53"/>
    </row>
    <row r="17" ht="15.75" customHeight="1">
      <c r="A17" s="53"/>
      <c r="B17" s="53"/>
      <c r="C17" s="53"/>
      <c r="D17" s="53"/>
      <c r="E17" s="53"/>
      <c r="F17" s="53"/>
      <c r="G17" s="53"/>
      <c r="H17" s="53"/>
      <c r="I17" s="53"/>
      <c r="J17" s="53"/>
      <c r="K17" s="53"/>
    </row>
    <row r="18" ht="15.75" customHeight="1">
      <c r="A18" s="53"/>
      <c r="B18" s="53"/>
      <c r="C18" s="53"/>
      <c r="D18" s="53"/>
      <c r="E18" s="53"/>
      <c r="F18" s="53"/>
      <c r="G18" s="53"/>
      <c r="H18" s="53"/>
      <c r="I18" s="53"/>
      <c r="J18" s="53"/>
      <c r="K18" s="53"/>
    </row>
    <row r="19" ht="15.75" customHeight="1">
      <c r="A19" s="53"/>
      <c r="B19" s="53"/>
      <c r="C19" s="53"/>
      <c r="D19" s="53"/>
      <c r="E19" s="53"/>
      <c r="F19" s="53"/>
      <c r="G19" s="53"/>
      <c r="H19" s="53"/>
      <c r="I19" s="53"/>
      <c r="J19" s="53"/>
      <c r="K19" s="53"/>
    </row>
    <row r="20" ht="15.75" customHeight="1">
      <c r="A20" s="53"/>
      <c r="B20" s="53"/>
      <c r="C20" s="53"/>
      <c r="D20" s="53"/>
      <c r="E20" s="53"/>
      <c r="F20" s="53"/>
      <c r="G20" s="53"/>
      <c r="H20" s="53"/>
      <c r="I20" s="53"/>
      <c r="J20" s="53"/>
      <c r="K20" s="53"/>
    </row>
    <row r="21" ht="15.75" customHeight="1">
      <c r="A21" s="53"/>
      <c r="B21" s="53"/>
      <c r="C21" s="53"/>
      <c r="D21" s="53"/>
      <c r="E21" s="53"/>
      <c r="F21" s="53"/>
      <c r="G21" s="53"/>
      <c r="H21" s="53"/>
      <c r="I21" s="53"/>
      <c r="J21" s="53"/>
      <c r="K21" s="53"/>
    </row>
    <row r="22" ht="15.75" customHeight="1">
      <c r="A22" s="53"/>
      <c r="B22" s="53"/>
      <c r="C22" s="53"/>
      <c r="D22" s="53"/>
      <c r="E22" s="53"/>
      <c r="F22" s="53"/>
      <c r="G22" s="53"/>
      <c r="H22" s="53"/>
      <c r="I22" s="53"/>
      <c r="J22" s="53"/>
      <c r="K22" s="53"/>
    </row>
    <row r="23" ht="15.75" customHeight="1">
      <c r="A23" s="53"/>
      <c r="B23" s="53"/>
      <c r="C23" s="166"/>
      <c r="D23" s="167"/>
      <c r="E23" s="53"/>
      <c r="F23" s="53"/>
      <c r="G23" s="53"/>
      <c r="H23" s="53"/>
      <c r="I23" s="53"/>
      <c r="J23" s="53"/>
      <c r="K23" s="53"/>
    </row>
    <row r="24" ht="15.75" customHeight="1">
      <c r="A24" s="53"/>
      <c r="B24" s="53"/>
      <c r="C24" s="53"/>
      <c r="D24" s="53"/>
      <c r="E24" s="53"/>
      <c r="F24" s="53"/>
      <c r="G24" s="53"/>
      <c r="H24" s="53"/>
      <c r="I24" s="53"/>
      <c r="J24" s="53"/>
      <c r="K24" s="53"/>
    </row>
    <row r="25" ht="15.75" customHeight="1">
      <c r="A25" s="53"/>
      <c r="B25" s="53"/>
      <c r="C25" s="53"/>
      <c r="D25" s="53"/>
      <c r="E25" s="53"/>
      <c r="F25" s="53"/>
      <c r="G25" s="53"/>
      <c r="H25" s="53"/>
      <c r="I25" s="53"/>
      <c r="J25" s="53"/>
      <c r="K25" s="53"/>
    </row>
    <row r="26" ht="15.75" customHeight="1">
      <c r="A26" s="53"/>
      <c r="B26" s="53"/>
      <c r="C26" s="53"/>
      <c r="D26" s="53"/>
      <c r="E26" s="53"/>
      <c r="F26" s="53"/>
      <c r="G26" s="53"/>
      <c r="H26" s="53"/>
      <c r="I26" s="53"/>
      <c r="J26" s="53"/>
      <c r="K26" s="53"/>
    </row>
    <row r="27" ht="15.75" customHeight="1">
      <c r="A27" s="53"/>
      <c r="B27" s="53"/>
      <c r="C27" s="53"/>
      <c r="D27" s="53"/>
      <c r="E27" s="53"/>
      <c r="F27" s="53"/>
      <c r="G27" s="53"/>
      <c r="H27" s="53"/>
      <c r="I27" s="53"/>
      <c r="J27" s="53"/>
      <c r="K27" s="53"/>
    </row>
    <row r="28" ht="15.75" customHeight="1">
      <c r="A28" s="53"/>
      <c r="B28" s="53"/>
      <c r="C28" s="53"/>
      <c r="D28" s="53"/>
      <c r="E28" s="53"/>
      <c r="F28" s="53"/>
      <c r="G28" s="53"/>
      <c r="H28" s="53"/>
      <c r="I28" s="53"/>
      <c r="J28" s="53"/>
      <c r="K28" s="53"/>
    </row>
    <row r="29" ht="15.75" customHeight="1">
      <c r="A29" s="53"/>
      <c r="B29" s="53"/>
      <c r="C29" s="53"/>
      <c r="D29" s="53"/>
      <c r="E29" s="53"/>
      <c r="F29" s="167"/>
      <c r="G29" s="53"/>
      <c r="H29" s="53"/>
      <c r="I29" s="53"/>
      <c r="J29" s="53"/>
      <c r="K29" s="53"/>
    </row>
    <row r="30" ht="15.75" customHeight="1">
      <c r="A30" s="53"/>
      <c r="B30" s="53"/>
      <c r="C30" s="53"/>
      <c r="D30" s="53"/>
      <c r="E30" s="53"/>
      <c r="F30" s="53"/>
      <c r="G30" s="53"/>
      <c r="H30" s="53"/>
      <c r="I30" s="53"/>
      <c r="J30" s="53"/>
      <c r="K30" s="53"/>
    </row>
    <row r="31" ht="15.75" customHeight="1">
      <c r="A31" s="53"/>
      <c r="B31" s="53"/>
      <c r="C31" s="53"/>
      <c r="D31" s="53"/>
      <c r="E31" s="53"/>
      <c r="F31" s="53"/>
      <c r="G31" s="53"/>
      <c r="H31" s="53"/>
      <c r="I31" s="53"/>
      <c r="J31" s="53"/>
      <c r="K31" s="53"/>
    </row>
    <row r="32" ht="15.75" customHeight="1">
      <c r="A32" s="53"/>
      <c r="B32" s="165"/>
      <c r="C32" s="53"/>
      <c r="D32" s="53"/>
      <c r="E32" s="53"/>
      <c r="F32" s="53"/>
      <c r="G32" s="53"/>
      <c r="H32" s="53"/>
      <c r="I32" s="53"/>
      <c r="J32" s="53"/>
      <c r="K32" s="53"/>
    </row>
    <row r="33" ht="15.75" customHeight="1">
      <c r="A33" s="53"/>
      <c r="B33" s="53"/>
      <c r="C33" s="53"/>
      <c r="D33" s="53"/>
      <c r="E33" s="53"/>
      <c r="F33" s="53"/>
      <c r="G33" s="53"/>
      <c r="H33" s="53"/>
      <c r="I33" s="53"/>
      <c r="J33" s="53"/>
      <c r="K33" s="53"/>
    </row>
    <row r="34" ht="15.75" customHeight="1">
      <c r="A34" s="53"/>
      <c r="B34" s="53"/>
      <c r="C34" s="53"/>
      <c r="D34" s="53"/>
      <c r="E34" s="53"/>
      <c r="F34" s="53"/>
      <c r="G34" s="53"/>
      <c r="H34" s="53"/>
      <c r="I34" s="53"/>
      <c r="J34" s="53"/>
      <c r="K34" s="53"/>
    </row>
    <row r="35" ht="15.75" customHeight="1">
      <c r="A35" s="53"/>
      <c r="B35" s="53"/>
      <c r="C35" s="53"/>
      <c r="D35" s="53"/>
      <c r="E35" s="53"/>
      <c r="F35" s="53"/>
      <c r="G35" s="53"/>
      <c r="H35" s="53"/>
      <c r="I35" s="53"/>
      <c r="J35" s="53"/>
      <c r="K35" s="53"/>
    </row>
    <row r="36" ht="15.75" customHeight="1">
      <c r="A36" s="53"/>
      <c r="B36" s="53"/>
      <c r="C36" s="53"/>
      <c r="D36" s="53"/>
      <c r="E36" s="53"/>
      <c r="F36" s="53"/>
      <c r="G36" s="53"/>
      <c r="H36" s="53"/>
      <c r="I36" s="53"/>
      <c r="J36" s="53"/>
      <c r="K36" s="53"/>
    </row>
    <row r="37" ht="15.75" customHeight="1">
      <c r="A37" s="53"/>
      <c r="B37" s="53"/>
      <c r="C37" s="53"/>
      <c r="D37" s="53"/>
      <c r="E37" s="53"/>
      <c r="F37" s="53"/>
      <c r="G37" s="53"/>
      <c r="H37" s="53"/>
      <c r="I37" s="53"/>
      <c r="J37" s="53"/>
      <c r="K37" s="53"/>
    </row>
    <row r="38" ht="15.75" customHeight="1">
      <c r="A38" s="53"/>
      <c r="B38" s="53"/>
      <c r="C38" s="53"/>
      <c r="D38" s="53"/>
      <c r="E38" s="53"/>
      <c r="F38" s="53"/>
      <c r="G38" s="53"/>
      <c r="H38" s="53"/>
      <c r="I38" s="53"/>
      <c r="J38" s="53"/>
      <c r="K38" s="53"/>
    </row>
    <row r="39" ht="15.75" customHeight="1">
      <c r="A39" s="53"/>
      <c r="B39" s="53"/>
      <c r="C39" s="53"/>
      <c r="D39" s="53"/>
      <c r="E39" s="53"/>
      <c r="F39" s="53"/>
      <c r="G39" s="53"/>
      <c r="H39" s="53"/>
      <c r="I39" s="53"/>
      <c r="J39" s="53"/>
      <c r="K39" s="53"/>
    </row>
    <row r="40" ht="15.75" customHeight="1">
      <c r="A40" s="53"/>
      <c r="B40" s="53"/>
      <c r="C40" s="53"/>
      <c r="D40" s="53"/>
      <c r="E40" s="53"/>
      <c r="F40" s="53"/>
      <c r="G40" s="53"/>
      <c r="H40" s="53"/>
      <c r="I40" s="53"/>
      <c r="J40" s="53"/>
      <c r="K40" s="53"/>
    </row>
    <row r="41" ht="15.75" customHeight="1">
      <c r="A41" s="53"/>
      <c r="B41" s="53"/>
      <c r="C41" s="53"/>
      <c r="D41" s="53"/>
      <c r="E41" s="53"/>
      <c r="F41" s="53"/>
      <c r="G41" s="53"/>
      <c r="H41" s="53"/>
      <c r="I41" s="53"/>
      <c r="J41" s="53"/>
      <c r="K41" s="53"/>
    </row>
    <row r="42" ht="15.75" customHeight="1">
      <c r="A42" s="53"/>
      <c r="B42" s="53"/>
      <c r="C42" s="53"/>
      <c r="D42" s="53"/>
      <c r="E42" s="53"/>
      <c r="F42" s="53"/>
      <c r="G42" s="53"/>
      <c r="H42" s="53"/>
      <c r="I42" s="53"/>
      <c r="J42" s="53"/>
      <c r="K42" s="53"/>
    </row>
    <row r="43" ht="15.75" customHeight="1">
      <c r="A43" s="53"/>
      <c r="B43" s="53"/>
      <c r="C43" s="53"/>
      <c r="D43" s="53"/>
      <c r="E43" s="53"/>
      <c r="F43" s="53"/>
      <c r="G43" s="53"/>
      <c r="H43" s="53"/>
      <c r="I43" s="53"/>
      <c r="J43" s="53"/>
      <c r="K43" s="53"/>
    </row>
    <row r="44" ht="15.75" customHeight="1">
      <c r="A44" s="53"/>
      <c r="B44" s="53"/>
      <c r="C44" s="53"/>
      <c r="D44" s="53"/>
      <c r="E44" s="53"/>
      <c r="F44" s="53"/>
      <c r="G44" s="53"/>
      <c r="H44" s="53"/>
      <c r="I44" s="53"/>
      <c r="J44" s="53"/>
      <c r="K44" s="53"/>
    </row>
    <row r="45" ht="15.75" customHeight="1">
      <c r="A45" s="53"/>
      <c r="B45" s="53"/>
      <c r="C45" s="166"/>
      <c r="D45" s="167"/>
      <c r="E45" s="167"/>
      <c r="F45" s="53"/>
      <c r="G45" s="53"/>
      <c r="H45" s="53"/>
      <c r="I45" s="53"/>
      <c r="J45" s="53"/>
      <c r="K45" s="53"/>
    </row>
    <row r="46" ht="15.75" customHeight="1">
      <c r="A46" s="53"/>
      <c r="B46" s="53"/>
      <c r="C46" s="167"/>
      <c r="D46" s="167"/>
      <c r="E46" s="53"/>
      <c r="F46" s="53"/>
      <c r="G46" s="53"/>
      <c r="H46" s="53"/>
      <c r="I46" s="53"/>
      <c r="J46" s="53"/>
      <c r="K46" s="53"/>
    </row>
    <row r="47" ht="15.75" customHeight="1">
      <c r="A47" s="53"/>
      <c r="B47" s="53"/>
      <c r="C47" s="53"/>
      <c r="D47" s="53"/>
      <c r="E47" s="53"/>
      <c r="F47" s="53"/>
      <c r="G47" s="53"/>
      <c r="H47" s="53"/>
      <c r="I47" s="53"/>
      <c r="J47" s="53"/>
      <c r="K47" s="53"/>
    </row>
    <row r="48" ht="15.75" customHeight="1">
      <c r="A48" s="53"/>
      <c r="B48" s="53"/>
      <c r="C48" s="53"/>
      <c r="D48" s="53"/>
      <c r="E48" s="53"/>
      <c r="F48" s="53"/>
      <c r="G48" s="53"/>
      <c r="H48" s="53"/>
      <c r="I48" s="53"/>
      <c r="J48" s="53"/>
      <c r="K48" s="53"/>
    </row>
    <row r="49" ht="15.75" customHeight="1">
      <c r="A49" s="53"/>
      <c r="B49" s="53"/>
      <c r="C49" s="53"/>
      <c r="D49" s="53"/>
      <c r="E49" s="53"/>
      <c r="F49" s="53"/>
      <c r="G49" s="53"/>
      <c r="H49" s="53"/>
      <c r="I49" s="53"/>
      <c r="J49" s="53"/>
      <c r="K49" s="53"/>
    </row>
    <row r="50" ht="15.75" customHeight="1">
      <c r="A50" s="53"/>
      <c r="B50" s="53"/>
      <c r="C50" s="53"/>
      <c r="D50" s="53"/>
      <c r="E50" s="53"/>
      <c r="F50" s="53"/>
      <c r="G50" s="53"/>
      <c r="H50" s="53"/>
      <c r="I50" s="53"/>
      <c r="J50" s="53"/>
      <c r="K50" s="53"/>
    </row>
    <row r="51" ht="15.75" customHeight="1">
      <c r="A51" s="53"/>
      <c r="B51" s="53"/>
      <c r="C51" s="53"/>
      <c r="D51" s="53"/>
      <c r="E51" s="53"/>
      <c r="F51" s="53"/>
      <c r="G51" s="53"/>
      <c r="H51" s="53"/>
      <c r="I51" s="53"/>
      <c r="J51" s="53"/>
      <c r="K51" s="53"/>
    </row>
    <row r="52" ht="15.75" customHeight="1">
      <c r="A52" s="53"/>
      <c r="B52" s="53"/>
      <c r="C52" s="53"/>
      <c r="D52" s="53"/>
      <c r="E52" s="53"/>
      <c r="F52" s="53"/>
      <c r="G52" s="53"/>
      <c r="H52" s="53"/>
      <c r="I52" s="53"/>
      <c r="J52" s="53"/>
      <c r="K52" s="53"/>
    </row>
    <row r="53" ht="15.75" customHeight="1">
      <c r="A53" s="53"/>
      <c r="B53" s="53"/>
      <c r="C53" s="53"/>
      <c r="D53" s="53"/>
      <c r="E53" s="53"/>
      <c r="F53" s="53"/>
      <c r="G53" s="53"/>
      <c r="H53" s="53"/>
      <c r="I53" s="53"/>
      <c r="J53" s="53"/>
      <c r="K53" s="53"/>
    </row>
    <row r="54" ht="15.75" customHeight="1">
      <c r="A54" s="53"/>
      <c r="B54" s="53"/>
      <c r="C54" s="53"/>
      <c r="D54" s="53"/>
      <c r="E54" s="53"/>
      <c r="F54" s="53"/>
      <c r="G54" s="53"/>
      <c r="H54" s="53"/>
      <c r="I54" s="53"/>
      <c r="J54" s="53"/>
      <c r="K54" s="53"/>
    </row>
    <row r="55" ht="15.75" customHeight="1">
      <c r="A55" s="53"/>
      <c r="B55" s="53"/>
      <c r="C55" s="53"/>
      <c r="D55" s="53"/>
      <c r="E55" s="53"/>
      <c r="F55" s="53"/>
      <c r="G55" s="53"/>
      <c r="H55" s="53"/>
      <c r="I55" s="53"/>
      <c r="J55" s="53"/>
      <c r="K55" s="53"/>
    </row>
    <row r="56" ht="15.75" customHeight="1">
      <c r="A56" s="53"/>
      <c r="B56" s="53"/>
      <c r="C56" s="53"/>
      <c r="D56" s="53"/>
      <c r="E56" s="53"/>
      <c r="F56" s="53"/>
      <c r="G56" s="53"/>
      <c r="H56" s="53"/>
      <c r="I56" s="53"/>
      <c r="J56" s="53"/>
      <c r="K56" s="53"/>
    </row>
    <row r="57" ht="15.75" customHeight="1">
      <c r="A57" s="53"/>
      <c r="B57" s="53"/>
      <c r="C57" s="53"/>
      <c r="D57" s="53"/>
      <c r="E57" s="53"/>
      <c r="F57" s="53"/>
      <c r="G57" s="53"/>
      <c r="H57" s="53"/>
      <c r="I57" s="53"/>
      <c r="J57" s="53"/>
      <c r="K57" s="53"/>
    </row>
    <row r="58" ht="15.75" customHeight="1">
      <c r="A58" s="53"/>
      <c r="B58" s="53"/>
      <c r="C58" s="53"/>
      <c r="D58" s="53"/>
      <c r="E58" s="53"/>
      <c r="F58" s="53"/>
      <c r="G58" s="53"/>
      <c r="H58" s="53"/>
      <c r="I58" s="53"/>
      <c r="J58" s="53"/>
      <c r="K58" s="53"/>
    </row>
    <row r="59" ht="15.75" customHeight="1">
      <c r="A59" s="53"/>
      <c r="B59" s="53"/>
      <c r="C59" s="53"/>
      <c r="D59" s="53"/>
      <c r="E59" s="53"/>
      <c r="F59" s="53"/>
      <c r="G59" s="53"/>
      <c r="H59" s="53"/>
      <c r="I59" s="53"/>
      <c r="J59" s="53"/>
      <c r="K59" s="53"/>
    </row>
    <row r="60" ht="15.75" customHeight="1">
      <c r="A60" s="53"/>
      <c r="B60" s="53"/>
      <c r="C60" s="53"/>
      <c r="D60" s="53"/>
      <c r="E60" s="53"/>
      <c r="F60" s="53"/>
      <c r="G60" s="53"/>
      <c r="H60" s="53"/>
      <c r="I60" s="53"/>
      <c r="J60" s="53"/>
      <c r="K60" s="53"/>
    </row>
    <row r="61" ht="15.75" customHeight="1">
      <c r="A61" s="53"/>
      <c r="B61" s="53"/>
      <c r="C61" s="53"/>
      <c r="D61" s="53"/>
      <c r="E61" s="53"/>
      <c r="F61" s="53"/>
      <c r="G61" s="53"/>
      <c r="H61" s="53"/>
      <c r="I61" s="53"/>
      <c r="J61" s="53"/>
      <c r="K61" s="53"/>
    </row>
    <row r="62" ht="15.75" customHeight="1">
      <c r="A62" s="53"/>
      <c r="B62" s="53"/>
      <c r="C62" s="53"/>
      <c r="D62" s="53"/>
      <c r="E62" s="53"/>
      <c r="F62" s="53"/>
      <c r="G62" s="53"/>
      <c r="H62" s="53"/>
      <c r="I62" s="53"/>
      <c r="J62" s="53"/>
      <c r="K62" s="53"/>
    </row>
    <row r="63" ht="15.75" customHeight="1">
      <c r="A63" s="53"/>
      <c r="B63" s="53"/>
      <c r="C63" s="53"/>
      <c r="D63" s="53"/>
      <c r="E63" s="53"/>
      <c r="F63" s="53"/>
      <c r="G63" s="53"/>
      <c r="H63" s="53"/>
      <c r="I63" s="53"/>
      <c r="J63" s="53"/>
      <c r="K63" s="53"/>
    </row>
    <row r="64" ht="15.75" customHeight="1">
      <c r="A64" s="53"/>
      <c r="B64" s="53"/>
      <c r="C64" s="53"/>
      <c r="D64" s="53"/>
      <c r="E64" s="53"/>
      <c r="F64" s="53"/>
      <c r="G64" s="53"/>
      <c r="H64" s="53"/>
      <c r="I64" s="53"/>
      <c r="J64" s="53"/>
      <c r="K64" s="53"/>
    </row>
    <row r="65" ht="15.75" customHeight="1">
      <c r="A65" s="53"/>
      <c r="B65" s="53"/>
      <c r="C65" s="53"/>
      <c r="D65" s="53"/>
      <c r="E65" s="53"/>
      <c r="F65" s="53"/>
      <c r="G65" s="53"/>
      <c r="H65" s="53"/>
      <c r="I65" s="53"/>
      <c r="J65" s="53"/>
      <c r="K65" s="53"/>
    </row>
    <row r="66" ht="15.75" customHeight="1">
      <c r="A66" s="53"/>
      <c r="B66" s="53"/>
      <c r="C66" s="53"/>
      <c r="D66" s="53"/>
      <c r="E66" s="53"/>
      <c r="F66" s="53"/>
      <c r="G66" s="53"/>
      <c r="H66" s="53"/>
      <c r="I66" s="53"/>
      <c r="J66" s="53"/>
      <c r="K66" s="53"/>
    </row>
    <row r="67" ht="15.75" customHeight="1">
      <c r="A67" s="53"/>
      <c r="B67" s="53"/>
      <c r="C67" s="53"/>
      <c r="D67" s="53"/>
      <c r="E67" s="53"/>
      <c r="F67" s="53"/>
      <c r="G67" s="53"/>
      <c r="H67" s="53"/>
      <c r="I67" s="53"/>
      <c r="J67" s="53"/>
      <c r="K67" s="53"/>
    </row>
    <row r="68" ht="15.75" customHeight="1">
      <c r="A68" s="53"/>
      <c r="B68" s="53"/>
      <c r="C68" s="53"/>
      <c r="D68" s="53"/>
      <c r="E68" s="53"/>
      <c r="F68" s="53"/>
      <c r="G68" s="53"/>
      <c r="H68" s="53"/>
      <c r="I68" s="53"/>
      <c r="J68" s="53"/>
      <c r="K68" s="53"/>
    </row>
    <row r="69" ht="15.75" customHeight="1">
      <c r="A69" s="53"/>
      <c r="B69" s="53"/>
      <c r="C69" s="53"/>
      <c r="D69" s="53"/>
      <c r="E69" s="53"/>
      <c r="F69" s="53"/>
      <c r="G69" s="53"/>
      <c r="H69" s="53"/>
      <c r="I69" s="53"/>
      <c r="J69" s="53"/>
      <c r="K69" s="53"/>
    </row>
    <row r="70" ht="15.75" customHeight="1">
      <c r="A70" s="53"/>
      <c r="B70" s="53"/>
      <c r="C70" s="53"/>
      <c r="D70" s="53"/>
      <c r="E70" s="53"/>
      <c r="F70" s="53"/>
      <c r="G70" s="53"/>
      <c r="H70" s="53"/>
      <c r="I70" s="53"/>
      <c r="J70" s="53"/>
      <c r="K70" s="53"/>
    </row>
    <row r="71" ht="15.75" customHeight="1">
      <c r="A71" s="53"/>
      <c r="B71" s="53"/>
      <c r="C71" s="53"/>
      <c r="D71" s="53"/>
      <c r="E71" s="53"/>
      <c r="F71" s="53"/>
      <c r="G71" s="53"/>
      <c r="H71" s="53"/>
      <c r="I71" s="53"/>
      <c r="J71" s="53"/>
      <c r="K71" s="53"/>
    </row>
    <row r="72" ht="15.75" customHeight="1">
      <c r="A72" s="53"/>
      <c r="B72" s="53"/>
      <c r="C72" s="53"/>
      <c r="D72" s="53"/>
      <c r="E72" s="53"/>
      <c r="F72" s="53"/>
      <c r="G72" s="53"/>
      <c r="H72" s="53"/>
      <c r="I72" s="53"/>
      <c r="J72" s="53"/>
      <c r="K72" s="53"/>
    </row>
    <row r="73" ht="15.75" customHeight="1">
      <c r="A73" s="53"/>
      <c r="B73" s="53"/>
      <c r="C73" s="53"/>
      <c r="D73" s="53"/>
      <c r="E73" s="53"/>
      <c r="F73" s="53"/>
      <c r="G73" s="53"/>
      <c r="H73" s="53"/>
      <c r="I73" s="53"/>
      <c r="J73" s="53"/>
      <c r="K73" s="53"/>
    </row>
    <row r="74" ht="15.75" customHeight="1">
      <c r="A74" s="53"/>
      <c r="B74" s="53"/>
      <c r="C74" s="53"/>
      <c r="D74" s="53"/>
      <c r="E74" s="53"/>
      <c r="F74" s="53"/>
      <c r="G74" s="53"/>
      <c r="H74" s="53"/>
      <c r="I74" s="53"/>
      <c r="J74" s="53"/>
      <c r="K74" s="53"/>
    </row>
    <row r="75" ht="15.75" customHeight="1">
      <c r="A75" s="53"/>
      <c r="B75" s="53"/>
      <c r="C75" s="53"/>
      <c r="D75" s="53"/>
      <c r="E75" s="53"/>
      <c r="F75" s="53"/>
      <c r="G75" s="53"/>
      <c r="H75" s="53"/>
      <c r="I75" s="53"/>
      <c r="J75" s="53"/>
      <c r="K75" s="53"/>
    </row>
    <row r="76" ht="15.75" customHeight="1">
      <c r="A76" s="53"/>
      <c r="B76" s="53"/>
      <c r="C76" s="53"/>
      <c r="D76" s="53"/>
      <c r="E76" s="53"/>
      <c r="F76" s="53"/>
      <c r="G76" s="53"/>
      <c r="H76" s="53"/>
      <c r="I76" s="53"/>
      <c r="J76" s="53"/>
      <c r="K76" s="53"/>
    </row>
    <row r="77" ht="15.75" customHeight="1">
      <c r="A77" s="53"/>
      <c r="B77" s="53"/>
      <c r="C77" s="53"/>
      <c r="D77" s="53"/>
      <c r="E77" s="53"/>
      <c r="F77" s="53"/>
      <c r="G77" s="53"/>
      <c r="H77" s="53"/>
      <c r="I77" s="53"/>
      <c r="J77" s="53"/>
      <c r="K77" s="53"/>
    </row>
    <row r="78" ht="15.75" customHeight="1">
      <c r="A78" s="53"/>
      <c r="B78" s="53"/>
      <c r="C78" s="53"/>
      <c r="D78" s="53"/>
      <c r="E78" s="53"/>
      <c r="F78" s="53"/>
      <c r="G78" s="53"/>
      <c r="H78" s="53"/>
      <c r="I78" s="53"/>
      <c r="J78" s="53"/>
      <c r="K78" s="53"/>
    </row>
    <row r="79" ht="15.75" customHeight="1">
      <c r="A79" s="53"/>
      <c r="B79" s="53"/>
      <c r="C79" s="53"/>
      <c r="D79" s="53"/>
      <c r="E79" s="53"/>
      <c r="F79" s="53"/>
      <c r="G79" s="53"/>
      <c r="H79" s="53"/>
      <c r="I79" s="53"/>
      <c r="J79" s="53"/>
      <c r="K79" s="53"/>
    </row>
    <row r="80" ht="15.75" customHeight="1">
      <c r="A80" s="53"/>
      <c r="B80" s="53"/>
      <c r="C80" s="53"/>
      <c r="D80" s="53"/>
      <c r="E80" s="53"/>
      <c r="F80" s="53"/>
      <c r="G80" s="53"/>
      <c r="H80" s="53"/>
      <c r="I80" s="53"/>
      <c r="J80" s="53"/>
      <c r="K80" s="53"/>
    </row>
    <row r="81" ht="15.75" customHeight="1">
      <c r="A81" s="53"/>
      <c r="B81" s="53"/>
      <c r="C81" s="53"/>
      <c r="D81" s="53"/>
      <c r="E81" s="53"/>
      <c r="F81" s="53"/>
      <c r="G81" s="53"/>
      <c r="H81" s="53"/>
      <c r="I81" s="53"/>
      <c r="J81" s="53"/>
      <c r="K81" s="53"/>
    </row>
    <row r="82" ht="15.75" customHeight="1">
      <c r="A82" s="53"/>
      <c r="B82" s="53"/>
      <c r="C82" s="53"/>
      <c r="D82" s="53"/>
      <c r="E82" s="53"/>
      <c r="F82" s="53"/>
      <c r="G82" s="53"/>
      <c r="H82" s="53"/>
      <c r="I82" s="53"/>
      <c r="J82" s="53"/>
      <c r="K82" s="53"/>
    </row>
    <row r="83" ht="15.75" customHeight="1">
      <c r="A83" s="53"/>
      <c r="B83" s="53"/>
      <c r="C83" s="53"/>
      <c r="D83" s="53"/>
      <c r="E83" s="53"/>
      <c r="F83" s="53"/>
      <c r="G83" s="53"/>
      <c r="H83" s="53"/>
      <c r="I83" s="53"/>
      <c r="J83" s="53"/>
      <c r="K83" s="53"/>
    </row>
    <row r="84" ht="15.75" customHeight="1">
      <c r="A84" s="53"/>
      <c r="B84" s="53"/>
      <c r="C84" s="53"/>
      <c r="D84" s="53"/>
      <c r="E84" s="53"/>
      <c r="F84" s="53"/>
      <c r="G84" s="53"/>
      <c r="H84" s="53"/>
      <c r="I84" s="53"/>
      <c r="J84" s="53"/>
      <c r="K84" s="53"/>
    </row>
    <row r="85" ht="15.75" customHeight="1">
      <c r="A85" s="53"/>
      <c r="B85" s="53"/>
      <c r="C85" s="53"/>
      <c r="D85" s="53"/>
      <c r="E85" s="53"/>
      <c r="F85" s="53"/>
      <c r="G85" s="53"/>
      <c r="H85" s="53"/>
      <c r="I85" s="53"/>
      <c r="J85" s="53"/>
      <c r="K85" s="53"/>
    </row>
    <row r="86" ht="15.75" customHeight="1">
      <c r="A86" s="53"/>
      <c r="B86" s="53"/>
      <c r="C86" s="53"/>
      <c r="D86" s="53"/>
      <c r="E86" s="53"/>
      <c r="F86" s="53"/>
      <c r="G86" s="53"/>
      <c r="H86" s="53"/>
      <c r="I86" s="53"/>
      <c r="J86" s="53"/>
      <c r="K86" s="53"/>
    </row>
    <row r="87" ht="15.75" customHeight="1">
      <c r="A87" s="53"/>
      <c r="B87" s="53"/>
      <c r="C87" s="53"/>
      <c r="D87" s="53"/>
      <c r="E87" s="53"/>
      <c r="F87" s="53"/>
      <c r="G87" s="53"/>
      <c r="H87" s="53"/>
      <c r="I87" s="53"/>
      <c r="J87" s="53"/>
      <c r="K87" s="53"/>
    </row>
    <row r="88" ht="15.75" customHeight="1">
      <c r="A88" s="53"/>
      <c r="B88" s="53"/>
      <c r="C88" s="53"/>
      <c r="D88" s="53"/>
      <c r="E88" s="53"/>
      <c r="F88" s="53"/>
      <c r="G88" s="53"/>
      <c r="H88" s="53"/>
      <c r="I88" s="53"/>
      <c r="J88" s="53"/>
      <c r="K88" s="53"/>
    </row>
    <row r="89" ht="15.75" customHeight="1">
      <c r="A89" s="53"/>
      <c r="B89" s="53"/>
      <c r="C89" s="53"/>
      <c r="D89" s="53"/>
      <c r="E89" s="53"/>
      <c r="F89" s="53"/>
      <c r="G89" s="53"/>
      <c r="H89" s="53"/>
      <c r="I89" s="53"/>
      <c r="J89" s="53"/>
      <c r="K89" s="53"/>
    </row>
    <row r="90" ht="15.75" customHeight="1">
      <c r="A90" s="53"/>
      <c r="B90" s="53"/>
      <c r="C90" s="53"/>
      <c r="D90" s="53"/>
      <c r="E90" s="53"/>
      <c r="F90" s="53"/>
      <c r="G90" s="53"/>
      <c r="H90" s="53"/>
      <c r="I90" s="53"/>
      <c r="J90" s="53"/>
      <c r="K90" s="53"/>
    </row>
    <row r="91" ht="15.75" customHeight="1">
      <c r="A91" s="53"/>
      <c r="B91" s="53"/>
      <c r="C91" s="53"/>
      <c r="D91" s="53"/>
      <c r="E91" s="53"/>
      <c r="F91" s="53"/>
      <c r="G91" s="53"/>
      <c r="H91" s="53"/>
      <c r="I91" s="53"/>
      <c r="J91" s="53"/>
      <c r="K91" s="53"/>
    </row>
    <row r="92" ht="15.75" customHeight="1">
      <c r="A92" s="53"/>
      <c r="B92" s="53"/>
      <c r="C92" s="53"/>
      <c r="D92" s="53"/>
      <c r="E92" s="53"/>
      <c r="F92" s="53"/>
      <c r="G92" s="53"/>
      <c r="H92" s="53"/>
      <c r="I92" s="53"/>
      <c r="J92" s="53"/>
      <c r="K92" s="53"/>
    </row>
    <row r="93" ht="15.75" customHeight="1">
      <c r="A93" s="53"/>
      <c r="B93" s="53"/>
      <c r="C93" s="53"/>
      <c r="D93" s="53"/>
      <c r="E93" s="53"/>
      <c r="F93" s="53"/>
      <c r="G93" s="53"/>
      <c r="H93" s="53"/>
      <c r="I93" s="53"/>
      <c r="J93" s="53"/>
      <c r="K93" s="53"/>
    </row>
    <row r="94" ht="15.75" customHeight="1">
      <c r="A94" s="53"/>
      <c r="B94" s="53"/>
      <c r="C94" s="53"/>
      <c r="D94" s="53"/>
      <c r="E94" s="53"/>
      <c r="F94" s="53"/>
      <c r="G94" s="53"/>
      <c r="H94" s="53"/>
      <c r="I94" s="53"/>
      <c r="J94" s="53"/>
      <c r="K94" s="53"/>
    </row>
    <row r="95" ht="15.75" customHeight="1">
      <c r="A95" s="53"/>
      <c r="B95" s="53"/>
      <c r="C95" s="53"/>
      <c r="D95" s="53"/>
      <c r="E95" s="53"/>
      <c r="F95" s="53"/>
      <c r="G95" s="53"/>
      <c r="H95" s="53"/>
      <c r="I95" s="53"/>
      <c r="J95" s="53"/>
      <c r="K95" s="53"/>
    </row>
    <row r="96" ht="15.75" customHeight="1">
      <c r="A96" s="53"/>
      <c r="B96" s="53"/>
      <c r="C96" s="53"/>
      <c r="D96" s="53"/>
      <c r="E96" s="53"/>
      <c r="F96" s="53"/>
      <c r="G96" s="53"/>
      <c r="H96" s="53"/>
      <c r="I96" s="53"/>
      <c r="J96" s="53"/>
      <c r="K96" s="53"/>
    </row>
    <row r="97" ht="15.75" customHeight="1">
      <c r="A97" s="53"/>
      <c r="B97" s="53"/>
      <c r="C97" s="53"/>
      <c r="D97" s="53"/>
      <c r="E97" s="53"/>
      <c r="F97" s="53"/>
      <c r="G97" s="53"/>
      <c r="H97" s="53"/>
      <c r="I97" s="53"/>
      <c r="J97" s="53"/>
      <c r="K97" s="53"/>
    </row>
    <row r="98" ht="15.75" customHeight="1">
      <c r="A98" s="53"/>
      <c r="B98" s="53"/>
      <c r="C98" s="53"/>
      <c r="D98" s="53"/>
      <c r="E98" s="53"/>
      <c r="F98" s="53"/>
      <c r="G98" s="53"/>
      <c r="H98" s="53"/>
      <c r="I98" s="53"/>
      <c r="J98" s="53"/>
      <c r="K98" s="53"/>
    </row>
    <row r="99" ht="15.75" customHeight="1">
      <c r="A99" s="53"/>
      <c r="B99" s="53"/>
      <c r="C99" s="53"/>
      <c r="D99" s="53"/>
      <c r="E99" s="53"/>
      <c r="F99" s="53"/>
      <c r="G99" s="53"/>
      <c r="H99" s="53"/>
      <c r="I99" s="53"/>
      <c r="J99" s="53"/>
      <c r="K99" s="53"/>
    </row>
    <row r="100" ht="15.75" customHeight="1">
      <c r="A100" s="53"/>
      <c r="B100" s="53"/>
      <c r="C100" s="53"/>
      <c r="D100" s="53"/>
      <c r="E100" s="53"/>
      <c r="F100" s="53"/>
      <c r="G100" s="53"/>
      <c r="H100" s="53"/>
      <c r="I100" s="53"/>
      <c r="J100" s="53"/>
      <c r="K100" s="53"/>
    </row>
    <row r="101" ht="15.75" customHeight="1">
      <c r="A101" s="53"/>
      <c r="B101" s="53"/>
      <c r="C101" s="53"/>
      <c r="D101" s="53"/>
      <c r="E101" s="53"/>
      <c r="F101" s="53"/>
      <c r="G101" s="53"/>
      <c r="H101" s="53"/>
      <c r="I101" s="53"/>
      <c r="J101" s="53"/>
      <c r="K101" s="53"/>
    </row>
    <row r="102" ht="15.75" customHeight="1">
      <c r="A102" s="53"/>
      <c r="B102" s="53"/>
      <c r="C102" s="53"/>
      <c r="D102" s="53"/>
      <c r="E102" s="53"/>
      <c r="F102" s="53"/>
      <c r="G102" s="53"/>
      <c r="H102" s="53"/>
      <c r="I102" s="53"/>
      <c r="J102" s="53"/>
      <c r="K102" s="53"/>
    </row>
    <row r="103" ht="15.75" customHeight="1">
      <c r="A103" s="53"/>
      <c r="B103" s="53"/>
      <c r="C103" s="53"/>
      <c r="D103" s="53"/>
      <c r="E103" s="53"/>
      <c r="F103" s="53"/>
      <c r="G103" s="53"/>
      <c r="H103" s="53"/>
      <c r="I103" s="53"/>
      <c r="J103" s="53"/>
      <c r="K103" s="53"/>
    </row>
    <row r="104" ht="15.75" customHeight="1">
      <c r="A104" s="53"/>
      <c r="B104" s="53"/>
      <c r="C104" s="53"/>
      <c r="D104" s="53"/>
      <c r="E104" s="53"/>
      <c r="F104" s="53"/>
      <c r="G104" s="53"/>
      <c r="H104" s="53"/>
      <c r="I104" s="53"/>
      <c r="J104" s="53"/>
      <c r="K104" s="53"/>
    </row>
    <row r="105" ht="15.75" customHeight="1">
      <c r="A105" s="53"/>
      <c r="B105" s="53"/>
      <c r="C105" s="53"/>
      <c r="D105" s="53"/>
      <c r="E105" s="53"/>
      <c r="F105" s="53"/>
      <c r="G105" s="53"/>
      <c r="H105" s="53"/>
      <c r="I105" s="53"/>
      <c r="J105" s="53"/>
      <c r="K105" s="53"/>
    </row>
    <row r="106" ht="15.75" customHeight="1">
      <c r="A106" s="53"/>
      <c r="B106" s="53"/>
      <c r="C106" s="53"/>
      <c r="D106" s="53"/>
      <c r="E106" s="53"/>
      <c r="F106" s="53"/>
      <c r="G106" s="53"/>
      <c r="H106" s="53"/>
      <c r="I106" s="53"/>
      <c r="J106" s="53"/>
      <c r="K106" s="53"/>
    </row>
    <row r="107" ht="15.75" customHeight="1">
      <c r="A107" s="53"/>
      <c r="B107" s="53"/>
      <c r="C107" s="53"/>
      <c r="D107" s="53"/>
      <c r="E107" s="53"/>
      <c r="F107" s="53"/>
      <c r="G107" s="53"/>
      <c r="H107" s="53"/>
      <c r="I107" s="53"/>
      <c r="J107" s="53"/>
      <c r="K107" s="53"/>
    </row>
    <row r="108" ht="15.75" customHeight="1">
      <c r="A108" s="53"/>
      <c r="B108" s="53"/>
      <c r="C108" s="53"/>
      <c r="D108" s="53"/>
      <c r="E108" s="53"/>
      <c r="F108" s="53"/>
      <c r="G108" s="53"/>
      <c r="H108" s="53"/>
      <c r="I108" s="53"/>
      <c r="J108" s="53"/>
      <c r="K108" s="53"/>
    </row>
    <row r="109" ht="15.75" customHeight="1">
      <c r="A109" s="53"/>
      <c r="B109" s="53"/>
      <c r="C109" s="53"/>
      <c r="D109" s="53"/>
      <c r="E109" s="53"/>
      <c r="F109" s="53"/>
      <c r="G109" s="53"/>
      <c r="H109" s="53"/>
      <c r="I109" s="53"/>
      <c r="J109" s="53"/>
      <c r="K109" s="53"/>
    </row>
    <row r="110" ht="15.75" customHeight="1">
      <c r="A110" s="53"/>
      <c r="B110" s="53"/>
      <c r="C110" s="53"/>
      <c r="D110" s="53"/>
      <c r="E110" s="53"/>
      <c r="F110" s="53"/>
      <c r="G110" s="53"/>
      <c r="H110" s="53"/>
      <c r="I110" s="53"/>
      <c r="J110" s="53"/>
      <c r="K110" s="53"/>
    </row>
    <row r="111" ht="15.75" customHeight="1">
      <c r="A111" s="53"/>
      <c r="B111" s="53"/>
      <c r="C111" s="53"/>
      <c r="D111" s="53"/>
      <c r="E111" s="53"/>
      <c r="F111" s="53"/>
      <c r="G111" s="53"/>
      <c r="H111" s="53"/>
      <c r="I111" s="53"/>
      <c r="J111" s="53"/>
      <c r="K111" s="53"/>
    </row>
    <row r="112" ht="15.75" customHeight="1">
      <c r="A112" s="53"/>
      <c r="B112" s="53"/>
      <c r="C112" s="53"/>
      <c r="D112" s="53"/>
      <c r="E112" s="53"/>
      <c r="F112" s="53"/>
      <c r="G112" s="53"/>
      <c r="H112" s="53"/>
      <c r="I112" s="53"/>
      <c r="J112" s="53"/>
      <c r="K112" s="53"/>
    </row>
    <row r="113" ht="15.75" customHeight="1">
      <c r="A113" s="53"/>
      <c r="B113" s="53"/>
      <c r="C113" s="53"/>
      <c r="D113" s="53"/>
      <c r="E113" s="53"/>
      <c r="F113" s="53"/>
      <c r="G113" s="53"/>
      <c r="H113" s="53"/>
      <c r="I113" s="53"/>
      <c r="J113" s="53"/>
      <c r="K113" s="53"/>
    </row>
    <row r="114" ht="15.75" customHeight="1">
      <c r="A114" s="53"/>
      <c r="B114" s="53"/>
      <c r="C114" s="53"/>
      <c r="D114" s="53"/>
      <c r="E114" s="53"/>
      <c r="F114" s="53"/>
      <c r="G114" s="53"/>
      <c r="H114" s="53"/>
      <c r="I114" s="53"/>
      <c r="J114" s="53"/>
      <c r="K114" s="53"/>
    </row>
    <row r="115" ht="15.75" customHeight="1">
      <c r="A115" s="53"/>
      <c r="B115" s="53"/>
      <c r="C115" s="53"/>
      <c r="D115" s="53"/>
      <c r="E115" s="53"/>
      <c r="F115" s="53"/>
      <c r="G115" s="53"/>
      <c r="H115" s="53"/>
      <c r="I115" s="53"/>
      <c r="J115" s="53"/>
      <c r="K115" s="53"/>
    </row>
    <row r="116" ht="15.75" customHeight="1">
      <c r="A116" s="53"/>
      <c r="B116" s="53"/>
      <c r="C116" s="53"/>
      <c r="D116" s="53"/>
      <c r="E116" s="53"/>
      <c r="F116" s="53"/>
      <c r="G116" s="53"/>
      <c r="H116" s="53"/>
      <c r="I116" s="53"/>
      <c r="J116" s="53"/>
      <c r="K116" s="53"/>
    </row>
    <row r="117" ht="15.75" customHeight="1">
      <c r="A117" s="53"/>
      <c r="B117" s="53"/>
      <c r="C117" s="53"/>
      <c r="D117" s="53"/>
      <c r="E117" s="53"/>
      <c r="F117" s="53"/>
      <c r="G117" s="53"/>
      <c r="H117" s="53"/>
      <c r="I117" s="53"/>
      <c r="J117" s="53"/>
      <c r="K117" s="53"/>
    </row>
    <row r="118" ht="15.75" customHeight="1">
      <c r="A118" s="53"/>
      <c r="B118" s="53"/>
      <c r="C118" s="53"/>
      <c r="D118" s="53"/>
      <c r="E118" s="53"/>
      <c r="F118" s="53"/>
      <c r="G118" s="53"/>
      <c r="H118" s="53"/>
      <c r="I118" s="53"/>
      <c r="J118" s="53"/>
      <c r="K118" s="53"/>
    </row>
    <row r="119" ht="15.75" customHeight="1">
      <c r="A119" s="53"/>
      <c r="B119" s="53"/>
      <c r="C119" s="53"/>
      <c r="D119" s="53"/>
      <c r="E119" s="53"/>
      <c r="F119" s="53"/>
      <c r="G119" s="53"/>
      <c r="H119" s="53"/>
      <c r="I119" s="53"/>
      <c r="J119" s="53"/>
      <c r="K119" s="53"/>
    </row>
    <row r="120" ht="15.75" customHeight="1">
      <c r="A120" s="53"/>
      <c r="B120" s="53"/>
      <c r="C120" s="53"/>
      <c r="D120" s="53"/>
      <c r="E120" s="53"/>
      <c r="F120" s="53"/>
      <c r="G120" s="53"/>
      <c r="H120" s="53"/>
      <c r="I120" s="53"/>
      <c r="J120" s="53"/>
      <c r="K120" s="53"/>
    </row>
    <row r="121" ht="15.75" customHeight="1">
      <c r="A121" s="53"/>
      <c r="B121" s="53"/>
      <c r="C121" s="53"/>
      <c r="D121" s="53"/>
      <c r="E121" s="53"/>
      <c r="F121" s="53"/>
      <c r="G121" s="53"/>
      <c r="H121" s="53"/>
      <c r="I121" s="53"/>
      <c r="J121" s="53"/>
      <c r="K121" s="53"/>
    </row>
    <row r="122" ht="15.75" customHeight="1">
      <c r="A122" s="53"/>
      <c r="B122" s="53"/>
      <c r="C122" s="53"/>
      <c r="D122" s="53"/>
      <c r="E122" s="53"/>
      <c r="F122" s="53"/>
      <c r="G122" s="53"/>
      <c r="H122" s="53"/>
      <c r="I122" s="53"/>
      <c r="J122" s="53"/>
      <c r="K122" s="53"/>
    </row>
    <row r="123" ht="15.75" customHeight="1">
      <c r="A123" s="53"/>
      <c r="B123" s="53"/>
      <c r="C123" s="53"/>
      <c r="D123" s="53"/>
      <c r="E123" s="53"/>
      <c r="F123" s="53"/>
      <c r="G123" s="53"/>
      <c r="H123" s="53"/>
      <c r="I123" s="53"/>
      <c r="J123" s="53"/>
      <c r="K123" s="53"/>
    </row>
    <row r="124" ht="15.75" customHeight="1">
      <c r="A124" s="53"/>
      <c r="B124" s="53"/>
      <c r="C124" s="53"/>
      <c r="D124" s="53"/>
      <c r="E124" s="53"/>
      <c r="F124" s="53"/>
      <c r="G124" s="53"/>
      <c r="H124" s="53"/>
      <c r="I124" s="53"/>
      <c r="J124" s="53"/>
      <c r="K124" s="53"/>
    </row>
    <row r="125" ht="15.75" customHeight="1">
      <c r="A125" s="53"/>
      <c r="B125" s="53"/>
      <c r="C125" s="53"/>
      <c r="D125" s="53"/>
      <c r="E125" s="53"/>
      <c r="F125" s="53"/>
      <c r="G125" s="53"/>
      <c r="H125" s="53"/>
      <c r="I125" s="53"/>
      <c r="J125" s="53"/>
      <c r="K125" s="53"/>
    </row>
    <row r="126" ht="15.75" customHeight="1">
      <c r="A126" s="53"/>
      <c r="B126" s="53"/>
      <c r="C126" s="53"/>
      <c r="D126" s="53"/>
      <c r="E126" s="53"/>
      <c r="F126" s="53"/>
      <c r="G126" s="53"/>
      <c r="H126" s="53"/>
      <c r="I126" s="53"/>
      <c r="J126" s="53"/>
      <c r="K126" s="53"/>
    </row>
    <row r="127" ht="15.75" customHeight="1">
      <c r="A127" s="53"/>
      <c r="B127" s="53"/>
      <c r="C127" s="53"/>
      <c r="D127" s="53"/>
      <c r="E127" s="53"/>
      <c r="F127" s="53"/>
      <c r="G127" s="53"/>
      <c r="H127" s="53"/>
      <c r="I127" s="53"/>
      <c r="J127" s="53"/>
      <c r="K127" s="53"/>
    </row>
    <row r="128" ht="15.75" customHeight="1">
      <c r="A128" s="53"/>
      <c r="B128" s="53"/>
      <c r="C128" s="53"/>
      <c r="D128" s="53"/>
      <c r="E128" s="53"/>
      <c r="F128" s="53"/>
      <c r="G128" s="53"/>
      <c r="H128" s="53"/>
      <c r="I128" s="53"/>
      <c r="J128" s="53"/>
      <c r="K128" s="53"/>
    </row>
    <row r="129" ht="15.75" customHeight="1">
      <c r="A129" s="53"/>
      <c r="B129" s="53"/>
      <c r="C129" s="53"/>
      <c r="D129" s="53"/>
      <c r="E129" s="53"/>
      <c r="F129" s="53"/>
      <c r="G129" s="53"/>
      <c r="H129" s="53"/>
      <c r="I129" s="53"/>
      <c r="J129" s="53"/>
      <c r="K129" s="53"/>
    </row>
    <row r="130" ht="15.75" customHeight="1">
      <c r="A130" s="53"/>
      <c r="B130" s="53"/>
      <c r="C130" s="53"/>
      <c r="D130" s="53"/>
      <c r="E130" s="53"/>
      <c r="F130" s="53"/>
      <c r="G130" s="53"/>
      <c r="H130" s="53"/>
      <c r="I130" s="53"/>
      <c r="J130" s="53"/>
      <c r="K130" s="53"/>
    </row>
    <row r="131" ht="15.75" customHeight="1">
      <c r="A131" s="53"/>
      <c r="B131" s="53"/>
      <c r="C131" s="53"/>
      <c r="D131" s="53"/>
      <c r="E131" s="53"/>
      <c r="F131" s="53"/>
      <c r="G131" s="53"/>
      <c r="H131" s="53"/>
      <c r="I131" s="53"/>
      <c r="J131" s="53"/>
      <c r="K131" s="53"/>
    </row>
    <row r="132" ht="15.75" customHeight="1">
      <c r="A132" s="53"/>
      <c r="B132" s="53"/>
      <c r="C132" s="53"/>
      <c r="D132" s="53"/>
      <c r="E132" s="53"/>
      <c r="F132" s="53"/>
      <c r="G132" s="53"/>
      <c r="H132" s="53"/>
      <c r="I132" s="53"/>
      <c r="J132" s="53"/>
      <c r="K132" s="53"/>
    </row>
    <row r="133" ht="15.75" customHeight="1">
      <c r="A133" s="53"/>
      <c r="B133" s="53"/>
      <c r="C133" s="53"/>
      <c r="D133" s="53"/>
      <c r="E133" s="53"/>
      <c r="F133" s="53"/>
      <c r="G133" s="53"/>
      <c r="H133" s="53"/>
      <c r="I133" s="53"/>
      <c r="J133" s="53"/>
      <c r="K133" s="53"/>
    </row>
    <row r="134" ht="15.75" customHeight="1">
      <c r="A134" s="53"/>
      <c r="B134" s="53"/>
      <c r="C134" s="53"/>
      <c r="D134" s="53"/>
      <c r="E134" s="53"/>
      <c r="F134" s="53"/>
      <c r="G134" s="53"/>
      <c r="H134" s="53"/>
      <c r="I134" s="53"/>
      <c r="J134" s="53"/>
      <c r="K134" s="53"/>
    </row>
    <row r="135" ht="15.75" customHeight="1">
      <c r="A135" s="53"/>
      <c r="B135" s="53"/>
      <c r="C135" s="53"/>
      <c r="D135" s="53"/>
      <c r="E135" s="53"/>
      <c r="F135" s="53"/>
      <c r="G135" s="53"/>
      <c r="H135" s="53"/>
      <c r="I135" s="53"/>
      <c r="J135" s="53"/>
      <c r="K135" s="53"/>
    </row>
    <row r="136" ht="15.75" customHeight="1">
      <c r="A136" s="53"/>
      <c r="B136" s="53"/>
      <c r="C136" s="53"/>
      <c r="D136" s="53"/>
      <c r="E136" s="53"/>
      <c r="F136" s="53"/>
      <c r="G136" s="53"/>
      <c r="H136" s="53"/>
      <c r="I136" s="53"/>
      <c r="J136" s="53"/>
      <c r="K136" s="53"/>
    </row>
    <row r="137" ht="15.75" customHeight="1">
      <c r="A137" s="53"/>
      <c r="B137" s="53"/>
      <c r="C137" s="53"/>
      <c r="D137" s="53"/>
      <c r="E137" s="53"/>
      <c r="F137" s="53"/>
      <c r="G137" s="53"/>
      <c r="H137" s="53"/>
      <c r="I137" s="53"/>
      <c r="J137" s="53"/>
      <c r="K137" s="53"/>
    </row>
    <row r="138" ht="15.75" customHeight="1">
      <c r="A138" s="53"/>
      <c r="B138" s="53"/>
      <c r="C138" s="53"/>
      <c r="D138" s="53"/>
      <c r="E138" s="53"/>
      <c r="F138" s="53"/>
      <c r="G138" s="53"/>
      <c r="H138" s="53"/>
      <c r="I138" s="53"/>
      <c r="J138" s="53"/>
      <c r="K138" s="53"/>
    </row>
    <row r="139" ht="15.75" customHeight="1">
      <c r="A139" s="53"/>
      <c r="B139" s="53"/>
      <c r="C139" s="53"/>
      <c r="D139" s="53"/>
      <c r="E139" s="53"/>
      <c r="F139" s="53"/>
      <c r="G139" s="53"/>
      <c r="H139" s="53"/>
      <c r="I139" s="53"/>
      <c r="J139" s="53"/>
      <c r="K139" s="53"/>
    </row>
    <row r="140" ht="15.75" customHeight="1">
      <c r="A140" s="53"/>
      <c r="B140" s="53"/>
      <c r="C140" s="53"/>
      <c r="D140" s="53"/>
      <c r="E140" s="53"/>
      <c r="F140" s="53"/>
      <c r="G140" s="53"/>
      <c r="H140" s="53"/>
      <c r="I140" s="53"/>
      <c r="J140" s="53"/>
      <c r="K140" s="53"/>
    </row>
    <row r="141" ht="15.75" customHeight="1">
      <c r="A141" s="53"/>
      <c r="B141" s="53"/>
      <c r="C141" s="53"/>
      <c r="D141" s="53"/>
      <c r="E141" s="53"/>
      <c r="F141" s="53"/>
      <c r="G141" s="53"/>
      <c r="H141" s="53"/>
      <c r="I141" s="53"/>
      <c r="J141" s="53"/>
      <c r="K141" s="53"/>
    </row>
    <row r="142" ht="15.75" customHeight="1">
      <c r="A142" s="53"/>
      <c r="B142" s="53"/>
      <c r="C142" s="53"/>
      <c r="D142" s="53"/>
      <c r="E142" s="53"/>
      <c r="F142" s="53"/>
      <c r="G142" s="53"/>
      <c r="H142" s="53"/>
      <c r="I142" s="53"/>
      <c r="J142" s="53"/>
      <c r="K142" s="53"/>
    </row>
    <row r="143" ht="15.75" customHeight="1">
      <c r="A143" s="53"/>
      <c r="B143" s="53"/>
      <c r="C143" s="53"/>
      <c r="D143" s="53"/>
      <c r="E143" s="53"/>
      <c r="F143" s="53"/>
      <c r="G143" s="53"/>
      <c r="H143" s="53"/>
      <c r="I143" s="53"/>
      <c r="J143" s="53"/>
      <c r="K143" s="53"/>
    </row>
    <row r="144" ht="15.75" customHeight="1">
      <c r="A144" s="53"/>
      <c r="B144" s="53"/>
      <c r="C144" s="53"/>
      <c r="D144" s="53"/>
      <c r="E144" s="53"/>
      <c r="F144" s="53"/>
      <c r="G144" s="53"/>
      <c r="H144" s="53"/>
      <c r="I144" s="53"/>
      <c r="J144" s="53"/>
      <c r="K144" s="53"/>
    </row>
    <row r="145" ht="15.75" customHeight="1">
      <c r="A145" s="53"/>
      <c r="B145" s="53"/>
      <c r="C145" s="53"/>
      <c r="D145" s="53"/>
      <c r="E145" s="53"/>
      <c r="F145" s="53"/>
      <c r="G145" s="53"/>
      <c r="H145" s="53"/>
      <c r="I145" s="53"/>
      <c r="J145" s="53"/>
      <c r="K145" s="53"/>
    </row>
    <row r="146" ht="15.75" customHeight="1">
      <c r="A146" s="53"/>
      <c r="B146" s="53"/>
      <c r="C146" s="53"/>
      <c r="D146" s="53"/>
      <c r="E146" s="53"/>
      <c r="F146" s="53"/>
      <c r="G146" s="53"/>
      <c r="H146" s="53"/>
      <c r="I146" s="53"/>
      <c r="J146" s="53"/>
      <c r="K146" s="53"/>
    </row>
    <row r="147" ht="15.75" customHeight="1">
      <c r="A147" s="53"/>
      <c r="B147" s="53"/>
      <c r="C147" s="53"/>
      <c r="D147" s="53"/>
      <c r="E147" s="53"/>
      <c r="F147" s="53"/>
      <c r="G147" s="53"/>
      <c r="H147" s="53"/>
      <c r="I147" s="53"/>
      <c r="J147" s="53"/>
      <c r="K147" s="53"/>
    </row>
    <row r="148" ht="15.75" customHeight="1">
      <c r="A148" s="53"/>
      <c r="B148" s="53"/>
      <c r="C148" s="53"/>
      <c r="D148" s="53"/>
      <c r="E148" s="53"/>
      <c r="F148" s="53"/>
      <c r="G148" s="53"/>
      <c r="H148" s="53"/>
      <c r="I148" s="53"/>
      <c r="J148" s="53"/>
      <c r="K148" s="53"/>
    </row>
    <row r="149" ht="15.75" customHeight="1">
      <c r="A149" s="53"/>
      <c r="B149" s="53"/>
      <c r="C149" s="53"/>
      <c r="D149" s="53"/>
      <c r="E149" s="53"/>
      <c r="F149" s="53"/>
      <c r="G149" s="53"/>
      <c r="H149" s="53"/>
      <c r="I149" s="53"/>
      <c r="J149" s="53"/>
      <c r="K149" s="53"/>
    </row>
    <row r="150" ht="15.75" customHeight="1">
      <c r="A150" s="53"/>
      <c r="B150" s="53"/>
      <c r="C150" s="53"/>
      <c r="D150" s="53"/>
      <c r="E150" s="53"/>
      <c r="F150" s="53"/>
      <c r="G150" s="53"/>
      <c r="H150" s="53"/>
      <c r="I150" s="53"/>
      <c r="J150" s="53"/>
      <c r="K150" s="53"/>
    </row>
    <row r="151" ht="15.75" customHeight="1">
      <c r="A151" s="53"/>
      <c r="B151" s="53"/>
      <c r="C151" s="53"/>
      <c r="D151" s="53"/>
      <c r="E151" s="53"/>
      <c r="F151" s="53"/>
      <c r="G151" s="53"/>
      <c r="H151" s="53"/>
      <c r="I151" s="53"/>
      <c r="J151" s="53"/>
      <c r="K151" s="53"/>
    </row>
    <row r="152" ht="15.75" customHeight="1">
      <c r="A152" s="53"/>
      <c r="B152" s="53"/>
      <c r="C152" s="53"/>
      <c r="D152" s="53"/>
      <c r="E152" s="53"/>
      <c r="F152" s="53"/>
      <c r="G152" s="53"/>
      <c r="H152" s="53"/>
      <c r="I152" s="53"/>
      <c r="J152" s="53"/>
      <c r="K152" s="53"/>
    </row>
    <row r="153" ht="15.75" customHeight="1">
      <c r="A153" s="53"/>
      <c r="B153" s="53"/>
      <c r="C153" s="53"/>
      <c r="D153" s="53"/>
      <c r="E153" s="53"/>
      <c r="F153" s="53"/>
      <c r="G153" s="53"/>
      <c r="H153" s="53"/>
      <c r="I153" s="53"/>
      <c r="J153" s="53"/>
      <c r="K153" s="53"/>
    </row>
    <row r="154" ht="15.75" customHeight="1">
      <c r="A154" s="53"/>
      <c r="B154" s="53"/>
      <c r="C154" s="53"/>
      <c r="D154" s="53"/>
      <c r="E154" s="53"/>
      <c r="F154" s="53"/>
      <c r="G154" s="53"/>
      <c r="H154" s="53"/>
      <c r="I154" s="53"/>
      <c r="J154" s="53"/>
      <c r="K154" s="53"/>
    </row>
    <row r="155" ht="15.75" customHeight="1">
      <c r="A155" s="53"/>
      <c r="B155" s="53"/>
      <c r="C155" s="53"/>
      <c r="D155" s="53"/>
      <c r="E155" s="53"/>
      <c r="F155" s="53"/>
      <c r="G155" s="53"/>
      <c r="H155" s="53"/>
      <c r="I155" s="53"/>
      <c r="J155" s="53"/>
      <c r="K155" s="53"/>
    </row>
    <row r="156" ht="15.75" customHeight="1">
      <c r="A156" s="53"/>
      <c r="B156" s="53"/>
      <c r="C156" s="53"/>
      <c r="D156" s="53"/>
      <c r="E156" s="53"/>
      <c r="F156" s="53"/>
      <c r="G156" s="53"/>
      <c r="H156" s="53"/>
      <c r="I156" s="53"/>
      <c r="J156" s="53"/>
      <c r="K156" s="53"/>
    </row>
    <row r="157" ht="15.75" customHeight="1">
      <c r="A157" s="53"/>
      <c r="B157" s="53"/>
      <c r="C157" s="53"/>
      <c r="D157" s="53"/>
      <c r="E157" s="53"/>
      <c r="F157" s="53"/>
      <c r="G157" s="53"/>
      <c r="H157" s="53"/>
      <c r="I157" s="53"/>
      <c r="J157" s="53"/>
      <c r="K157" s="53"/>
    </row>
    <row r="158" ht="15.75" customHeight="1">
      <c r="A158" s="53"/>
      <c r="B158" s="53"/>
      <c r="C158" s="53"/>
      <c r="D158" s="53"/>
      <c r="E158" s="53"/>
      <c r="F158" s="53"/>
      <c r="G158" s="53"/>
      <c r="H158" s="53"/>
      <c r="I158" s="53"/>
      <c r="J158" s="53"/>
      <c r="K158" s="53"/>
    </row>
    <row r="159" ht="15.75" customHeight="1">
      <c r="A159" s="53"/>
      <c r="B159" s="53"/>
      <c r="C159" s="53"/>
      <c r="D159" s="53"/>
      <c r="E159" s="53"/>
      <c r="F159" s="53"/>
      <c r="G159" s="53"/>
      <c r="H159" s="53"/>
      <c r="I159" s="53"/>
      <c r="J159" s="53"/>
      <c r="K159" s="53"/>
    </row>
    <row r="160" ht="15.75" customHeight="1">
      <c r="A160" s="53"/>
      <c r="B160" s="53"/>
      <c r="C160" s="53"/>
      <c r="D160" s="53"/>
      <c r="E160" s="53"/>
      <c r="F160" s="53"/>
      <c r="G160" s="53"/>
      <c r="H160" s="53"/>
      <c r="I160" s="53"/>
      <c r="J160" s="53"/>
      <c r="K160" s="53"/>
    </row>
    <row r="161" ht="15.75" customHeight="1">
      <c r="A161" s="53"/>
      <c r="B161" s="53"/>
      <c r="C161" s="53"/>
      <c r="D161" s="53"/>
      <c r="E161" s="53"/>
      <c r="F161" s="53"/>
      <c r="G161" s="53"/>
      <c r="H161" s="53"/>
      <c r="I161" s="53"/>
      <c r="J161" s="53"/>
      <c r="K161" s="53"/>
    </row>
    <row r="162" ht="15.75" customHeight="1">
      <c r="A162" s="53"/>
      <c r="B162" s="53"/>
      <c r="C162" s="53"/>
      <c r="D162" s="53"/>
      <c r="E162" s="53"/>
      <c r="F162" s="53"/>
      <c r="G162" s="53"/>
      <c r="H162" s="53"/>
      <c r="I162" s="53"/>
      <c r="J162" s="53"/>
      <c r="K162" s="53"/>
    </row>
    <row r="163" ht="15.75" customHeight="1">
      <c r="A163" s="53"/>
      <c r="B163" s="53"/>
      <c r="C163" s="53"/>
      <c r="D163" s="53"/>
      <c r="E163" s="53"/>
      <c r="F163" s="53"/>
      <c r="G163" s="53"/>
      <c r="H163" s="53"/>
      <c r="I163" s="53"/>
      <c r="J163" s="53"/>
      <c r="K163" s="53"/>
    </row>
    <row r="164" ht="15.75" customHeight="1">
      <c r="A164" s="53"/>
      <c r="B164" s="53"/>
      <c r="C164" s="53"/>
      <c r="D164" s="53"/>
      <c r="E164" s="53"/>
      <c r="F164" s="53"/>
      <c r="G164" s="53"/>
      <c r="H164" s="53"/>
      <c r="I164" s="53"/>
      <c r="J164" s="53"/>
      <c r="K164" s="53"/>
    </row>
    <row r="165" ht="15.75" customHeight="1">
      <c r="A165" s="53"/>
      <c r="B165" s="53"/>
      <c r="C165" s="53"/>
      <c r="D165" s="53"/>
      <c r="E165" s="53"/>
      <c r="F165" s="53"/>
      <c r="G165" s="53"/>
      <c r="H165" s="53"/>
      <c r="I165" s="53"/>
      <c r="J165" s="53"/>
      <c r="K165" s="53"/>
    </row>
    <row r="166" ht="15.75" customHeight="1">
      <c r="A166" s="53"/>
      <c r="B166" s="53"/>
      <c r="C166" s="53"/>
      <c r="D166" s="53"/>
      <c r="E166" s="53"/>
      <c r="F166" s="53"/>
      <c r="G166" s="53"/>
      <c r="H166" s="53"/>
      <c r="I166" s="53"/>
      <c r="J166" s="53"/>
      <c r="K166" s="53"/>
    </row>
    <row r="167" ht="15.75" customHeight="1">
      <c r="A167" s="53"/>
      <c r="B167" s="53"/>
      <c r="C167" s="53"/>
      <c r="D167" s="53"/>
      <c r="E167" s="53"/>
      <c r="F167" s="53"/>
      <c r="G167" s="53"/>
      <c r="H167" s="53"/>
      <c r="I167" s="53"/>
      <c r="J167" s="53"/>
      <c r="K167" s="53"/>
    </row>
    <row r="168" ht="15.75" customHeight="1">
      <c r="A168" s="53"/>
      <c r="B168" s="53"/>
      <c r="C168" s="53"/>
      <c r="D168" s="53"/>
      <c r="E168" s="53"/>
      <c r="F168" s="53"/>
      <c r="G168" s="53"/>
      <c r="H168" s="53"/>
      <c r="I168" s="53"/>
      <c r="J168" s="53"/>
      <c r="K168" s="53"/>
    </row>
    <row r="169" ht="15.75" customHeight="1">
      <c r="A169" s="53"/>
      <c r="B169" s="53"/>
      <c r="C169" s="53"/>
      <c r="D169" s="53"/>
      <c r="E169" s="53"/>
      <c r="F169" s="53"/>
      <c r="G169" s="53"/>
      <c r="H169" s="53"/>
      <c r="I169" s="53"/>
      <c r="J169" s="53"/>
      <c r="K169" s="53"/>
    </row>
    <row r="170" ht="15.75" customHeight="1">
      <c r="A170" s="53"/>
      <c r="B170" s="53"/>
      <c r="C170" s="53"/>
      <c r="D170" s="53"/>
      <c r="E170" s="53"/>
      <c r="F170" s="53"/>
      <c r="G170" s="53"/>
      <c r="H170" s="53"/>
      <c r="I170" s="53"/>
      <c r="J170" s="53"/>
      <c r="K170" s="53"/>
    </row>
    <row r="171" ht="15.75" customHeight="1">
      <c r="A171" s="53"/>
      <c r="B171" s="53"/>
      <c r="C171" s="53"/>
      <c r="D171" s="53"/>
      <c r="E171" s="53"/>
      <c r="F171" s="53"/>
      <c r="G171" s="53"/>
      <c r="H171" s="53"/>
      <c r="I171" s="53"/>
      <c r="J171" s="53"/>
      <c r="K171" s="53"/>
    </row>
    <row r="172" ht="15.75" customHeight="1">
      <c r="A172" s="53"/>
      <c r="B172" s="53"/>
      <c r="C172" s="53"/>
      <c r="D172" s="53"/>
      <c r="E172" s="53"/>
      <c r="F172" s="53"/>
      <c r="G172" s="53"/>
      <c r="H172" s="53"/>
      <c r="I172" s="53"/>
      <c r="J172" s="53"/>
      <c r="K172" s="53"/>
    </row>
    <row r="173" ht="15.75" customHeight="1">
      <c r="A173" s="53"/>
      <c r="B173" s="53"/>
      <c r="C173" s="53"/>
      <c r="D173" s="53"/>
      <c r="E173" s="53"/>
      <c r="F173" s="53"/>
      <c r="G173" s="53"/>
      <c r="H173" s="53"/>
      <c r="I173" s="53"/>
      <c r="J173" s="53"/>
      <c r="K173" s="53"/>
    </row>
    <row r="174" ht="15.75" customHeight="1">
      <c r="A174" s="53"/>
      <c r="B174" s="53"/>
      <c r="C174" s="53"/>
      <c r="D174" s="53"/>
      <c r="E174" s="53"/>
      <c r="F174" s="53"/>
      <c r="G174" s="53"/>
      <c r="H174" s="53"/>
      <c r="I174" s="53"/>
      <c r="J174" s="53"/>
      <c r="K174" s="53"/>
    </row>
    <row r="175" ht="15.75" customHeight="1">
      <c r="A175" s="53"/>
      <c r="B175" s="53"/>
      <c r="C175" s="53"/>
      <c r="D175" s="53"/>
      <c r="E175" s="53"/>
      <c r="F175" s="53"/>
      <c r="G175" s="53"/>
      <c r="H175" s="53"/>
      <c r="I175" s="53"/>
      <c r="J175" s="53"/>
      <c r="K175" s="53"/>
    </row>
    <row r="176" ht="15.75" customHeight="1">
      <c r="A176" s="53"/>
      <c r="B176" s="53"/>
      <c r="C176" s="53"/>
      <c r="D176" s="53"/>
      <c r="E176" s="53"/>
      <c r="F176" s="53"/>
      <c r="G176" s="53"/>
      <c r="H176" s="53"/>
      <c r="I176" s="53"/>
      <c r="J176" s="53"/>
      <c r="K176" s="53"/>
    </row>
    <row r="177" ht="15.75" customHeight="1">
      <c r="A177" s="53"/>
      <c r="B177" s="53"/>
      <c r="C177" s="53"/>
      <c r="D177" s="53"/>
      <c r="E177" s="53"/>
      <c r="F177" s="53"/>
      <c r="G177" s="53"/>
      <c r="H177" s="53"/>
      <c r="I177" s="53"/>
      <c r="J177" s="53"/>
      <c r="K177" s="53"/>
    </row>
    <row r="178" ht="15.75" customHeight="1">
      <c r="A178" s="53"/>
      <c r="B178" s="53"/>
      <c r="C178" s="53"/>
      <c r="D178" s="53"/>
      <c r="E178" s="53"/>
      <c r="F178" s="53"/>
      <c r="G178" s="53"/>
      <c r="H178" s="53"/>
      <c r="I178" s="53"/>
      <c r="J178" s="53"/>
      <c r="K178" s="53"/>
    </row>
    <row r="179" ht="15.75" customHeight="1">
      <c r="A179" s="53"/>
      <c r="B179" s="53"/>
      <c r="C179" s="53"/>
      <c r="D179" s="53"/>
      <c r="E179" s="53"/>
      <c r="F179" s="53"/>
      <c r="G179" s="53"/>
      <c r="H179" s="53"/>
      <c r="I179" s="53"/>
      <c r="J179" s="53"/>
      <c r="K179" s="53"/>
    </row>
    <row r="180" ht="15.75" customHeight="1">
      <c r="A180" s="53"/>
      <c r="B180" s="53"/>
      <c r="C180" s="53"/>
      <c r="D180" s="53"/>
      <c r="E180" s="53"/>
      <c r="F180" s="53"/>
      <c r="G180" s="53"/>
      <c r="H180" s="53"/>
      <c r="I180" s="53"/>
      <c r="J180" s="53"/>
      <c r="K180" s="53"/>
    </row>
    <row r="181" ht="15.75" customHeight="1">
      <c r="A181" s="53"/>
      <c r="B181" s="53"/>
      <c r="C181" s="53"/>
      <c r="D181" s="53"/>
      <c r="E181" s="53"/>
      <c r="F181" s="53"/>
      <c r="G181" s="53"/>
      <c r="H181" s="53"/>
      <c r="I181" s="53"/>
      <c r="J181" s="53"/>
      <c r="K181" s="53"/>
    </row>
    <row r="182" ht="15.75" customHeight="1">
      <c r="A182" s="53"/>
      <c r="B182" s="53"/>
      <c r="C182" s="53"/>
      <c r="D182" s="53"/>
      <c r="E182" s="53"/>
      <c r="F182" s="53"/>
      <c r="G182" s="53"/>
      <c r="H182" s="53"/>
      <c r="I182" s="53"/>
      <c r="J182" s="53"/>
      <c r="K182" s="53"/>
    </row>
    <row r="183" ht="15.75" customHeight="1">
      <c r="A183" s="53"/>
      <c r="B183" s="53"/>
      <c r="C183" s="53"/>
      <c r="D183" s="53"/>
      <c r="E183" s="53"/>
      <c r="F183" s="53"/>
      <c r="G183" s="53"/>
      <c r="H183" s="53"/>
      <c r="I183" s="53"/>
      <c r="J183" s="53"/>
      <c r="K183" s="53"/>
    </row>
    <row r="184" ht="15.75" customHeight="1">
      <c r="A184" s="53"/>
      <c r="B184" s="53"/>
      <c r="C184" s="53"/>
      <c r="D184" s="53"/>
      <c r="E184" s="53"/>
      <c r="F184" s="53"/>
      <c r="G184" s="53"/>
      <c r="H184" s="53"/>
      <c r="I184" s="53"/>
      <c r="J184" s="53"/>
      <c r="K184" s="53"/>
    </row>
    <row r="185" ht="15.75" customHeight="1">
      <c r="A185" s="53"/>
      <c r="B185" s="53"/>
      <c r="C185" s="53"/>
      <c r="D185" s="53"/>
      <c r="E185" s="53"/>
      <c r="F185" s="53"/>
      <c r="G185" s="53"/>
      <c r="H185" s="53"/>
      <c r="I185" s="53"/>
      <c r="J185" s="53"/>
      <c r="K185" s="53"/>
    </row>
    <row r="186" ht="15.75" customHeight="1">
      <c r="A186" s="53"/>
      <c r="B186" s="53"/>
      <c r="C186" s="53"/>
      <c r="D186" s="53"/>
      <c r="E186" s="53"/>
      <c r="F186" s="53"/>
      <c r="G186" s="53"/>
      <c r="H186" s="53"/>
      <c r="I186" s="53"/>
      <c r="J186" s="53"/>
      <c r="K186" s="53"/>
    </row>
    <row r="187" ht="15.75" customHeight="1">
      <c r="A187" s="53"/>
      <c r="B187" s="53"/>
      <c r="C187" s="53"/>
      <c r="D187" s="53"/>
      <c r="E187" s="53"/>
      <c r="F187" s="53"/>
      <c r="G187" s="53"/>
      <c r="H187" s="53"/>
      <c r="I187" s="53"/>
      <c r="J187" s="53"/>
      <c r="K187" s="53"/>
    </row>
    <row r="188" ht="15.75" customHeight="1">
      <c r="A188" s="53"/>
      <c r="B188" s="53"/>
      <c r="C188" s="53"/>
      <c r="D188" s="53"/>
      <c r="E188" s="53"/>
      <c r="F188" s="53"/>
      <c r="G188" s="53"/>
      <c r="H188" s="53"/>
      <c r="I188" s="53"/>
      <c r="J188" s="53"/>
      <c r="K188" s="53"/>
    </row>
    <row r="189" ht="15.75" customHeight="1">
      <c r="A189" s="53"/>
      <c r="B189" s="53"/>
      <c r="C189" s="53"/>
      <c r="D189" s="53"/>
      <c r="E189" s="53"/>
      <c r="F189" s="53"/>
      <c r="G189" s="53"/>
      <c r="H189" s="53"/>
      <c r="I189" s="53"/>
      <c r="J189" s="53"/>
      <c r="K189" s="53"/>
    </row>
    <row r="190" ht="15.75" customHeight="1">
      <c r="A190" s="53"/>
      <c r="B190" s="53"/>
      <c r="C190" s="53"/>
      <c r="D190" s="53"/>
      <c r="E190" s="53"/>
      <c r="F190" s="53"/>
      <c r="G190" s="53"/>
      <c r="H190" s="53"/>
      <c r="I190" s="53"/>
      <c r="J190" s="53"/>
      <c r="K190" s="53"/>
    </row>
    <row r="191" ht="15.75" customHeight="1">
      <c r="A191" s="53"/>
      <c r="B191" s="53"/>
      <c r="C191" s="53"/>
      <c r="D191" s="53"/>
      <c r="E191" s="53"/>
      <c r="F191" s="53"/>
      <c r="G191" s="53"/>
      <c r="H191" s="53"/>
      <c r="I191" s="53"/>
      <c r="J191" s="53"/>
      <c r="K191" s="53"/>
    </row>
    <row r="192" ht="15.75" customHeight="1">
      <c r="A192" s="53"/>
      <c r="B192" s="53"/>
      <c r="C192" s="53"/>
      <c r="D192" s="53"/>
      <c r="E192" s="53"/>
      <c r="F192" s="53"/>
      <c r="G192" s="53"/>
      <c r="H192" s="53"/>
      <c r="I192" s="53"/>
      <c r="J192" s="53"/>
      <c r="K192" s="53"/>
    </row>
    <row r="193" ht="15.75" customHeight="1">
      <c r="A193" s="53"/>
      <c r="B193" s="53"/>
      <c r="C193" s="53"/>
      <c r="D193" s="53"/>
      <c r="E193" s="53"/>
      <c r="F193" s="53"/>
      <c r="G193" s="53"/>
      <c r="H193" s="53"/>
      <c r="I193" s="53"/>
      <c r="J193" s="53"/>
      <c r="K193" s="53"/>
    </row>
    <row r="194" ht="15.75" customHeight="1">
      <c r="A194" s="53"/>
      <c r="B194" s="53"/>
      <c r="C194" s="53"/>
      <c r="D194" s="53"/>
      <c r="E194" s="53"/>
      <c r="F194" s="53"/>
      <c r="G194" s="53"/>
      <c r="H194" s="53"/>
      <c r="I194" s="53"/>
      <c r="J194" s="53"/>
      <c r="K194" s="53"/>
    </row>
    <row r="195" ht="15.75" customHeight="1">
      <c r="A195" s="53"/>
      <c r="B195" s="53"/>
      <c r="C195" s="53"/>
      <c r="D195" s="53"/>
      <c r="E195" s="53"/>
      <c r="F195" s="53"/>
      <c r="G195" s="53"/>
      <c r="H195" s="53"/>
      <c r="I195" s="53"/>
      <c r="J195" s="53"/>
      <c r="K195" s="53"/>
    </row>
    <row r="196" ht="15.75" customHeight="1">
      <c r="A196" s="53"/>
      <c r="B196" s="53"/>
      <c r="C196" s="53"/>
      <c r="D196" s="53"/>
      <c r="E196" s="53"/>
      <c r="F196" s="53"/>
      <c r="G196" s="53"/>
      <c r="H196" s="53"/>
      <c r="I196" s="53"/>
      <c r="J196" s="53"/>
      <c r="K196" s="53"/>
    </row>
    <row r="197" ht="15.75" customHeight="1">
      <c r="A197" s="53"/>
      <c r="B197" s="53"/>
      <c r="C197" s="53"/>
      <c r="D197" s="53"/>
      <c r="E197" s="53"/>
      <c r="F197" s="53"/>
      <c r="G197" s="53"/>
      <c r="H197" s="53"/>
      <c r="I197" s="53"/>
      <c r="J197" s="53"/>
      <c r="K197" s="53"/>
    </row>
    <row r="198" ht="15.75" customHeight="1">
      <c r="A198" s="53"/>
      <c r="B198" s="53"/>
      <c r="C198" s="53"/>
      <c r="D198" s="53"/>
      <c r="E198" s="53"/>
      <c r="F198" s="53"/>
      <c r="G198" s="53"/>
      <c r="H198" s="53"/>
      <c r="I198" s="53"/>
      <c r="J198" s="53"/>
      <c r="K198" s="53"/>
    </row>
    <row r="199" ht="15.75" customHeight="1">
      <c r="A199" s="53"/>
      <c r="B199" s="53"/>
      <c r="C199" s="53"/>
      <c r="D199" s="53"/>
      <c r="E199" s="53"/>
      <c r="F199" s="53"/>
      <c r="G199" s="53"/>
      <c r="H199" s="53"/>
      <c r="I199" s="53"/>
      <c r="J199" s="53"/>
      <c r="K199" s="53"/>
    </row>
    <row r="200" ht="15.75" customHeight="1">
      <c r="A200" s="53"/>
      <c r="B200" s="53"/>
      <c r="C200" s="53"/>
      <c r="D200" s="53"/>
      <c r="E200" s="53"/>
      <c r="F200" s="53"/>
      <c r="G200" s="53"/>
      <c r="H200" s="53"/>
      <c r="I200" s="53"/>
      <c r="J200" s="53"/>
      <c r="K200" s="53"/>
    </row>
    <row r="201" ht="15.75" customHeight="1">
      <c r="A201" s="53"/>
      <c r="B201" s="53"/>
      <c r="C201" s="53"/>
      <c r="D201" s="53"/>
      <c r="E201" s="53"/>
      <c r="F201" s="53"/>
      <c r="G201" s="53"/>
      <c r="H201" s="53"/>
      <c r="I201" s="53"/>
      <c r="J201" s="53"/>
      <c r="K201" s="53"/>
    </row>
    <row r="202" ht="15.75" customHeight="1">
      <c r="A202" s="53"/>
      <c r="B202" s="53"/>
      <c r="C202" s="53"/>
      <c r="D202" s="53"/>
      <c r="E202" s="53"/>
      <c r="F202" s="53"/>
      <c r="G202" s="53"/>
      <c r="H202" s="53"/>
      <c r="I202" s="53"/>
      <c r="J202" s="53"/>
      <c r="K202" s="53"/>
    </row>
    <row r="203" ht="15.75" customHeight="1">
      <c r="A203" s="53"/>
      <c r="B203" s="53"/>
      <c r="C203" s="53"/>
      <c r="D203" s="53"/>
      <c r="E203" s="53"/>
      <c r="F203" s="53"/>
      <c r="G203" s="53"/>
      <c r="H203" s="53"/>
      <c r="I203" s="53"/>
      <c r="J203" s="53"/>
      <c r="K203" s="53"/>
    </row>
    <row r="204" ht="15.75" customHeight="1">
      <c r="A204" s="53"/>
      <c r="B204" s="53"/>
      <c r="C204" s="53"/>
      <c r="D204" s="53"/>
      <c r="E204" s="53"/>
      <c r="F204" s="53"/>
      <c r="G204" s="53"/>
      <c r="H204" s="53"/>
      <c r="I204" s="53"/>
      <c r="J204" s="53"/>
      <c r="K204" s="53"/>
    </row>
    <row r="205" ht="15.75" customHeight="1">
      <c r="A205" s="53"/>
      <c r="B205" s="53"/>
      <c r="C205" s="53"/>
      <c r="D205" s="53"/>
      <c r="E205" s="53"/>
      <c r="F205" s="53"/>
      <c r="G205" s="53"/>
      <c r="H205" s="53"/>
      <c r="I205" s="53"/>
      <c r="J205" s="53"/>
      <c r="K205" s="53"/>
    </row>
    <row r="206" ht="15.75" customHeight="1">
      <c r="A206" s="53"/>
      <c r="B206" s="53"/>
      <c r="C206" s="53"/>
      <c r="D206" s="53"/>
      <c r="E206" s="53"/>
      <c r="F206" s="53"/>
      <c r="G206" s="53"/>
      <c r="H206" s="53"/>
      <c r="I206" s="53"/>
      <c r="J206" s="53"/>
      <c r="K206" s="53"/>
    </row>
    <row r="207" ht="15.75" customHeight="1">
      <c r="A207" s="53"/>
      <c r="B207" s="53"/>
      <c r="C207" s="53"/>
      <c r="D207" s="53"/>
      <c r="E207" s="53"/>
      <c r="F207" s="53"/>
      <c r="G207" s="53"/>
      <c r="H207" s="53"/>
      <c r="I207" s="53"/>
      <c r="J207" s="53"/>
      <c r="K207" s="53"/>
    </row>
    <row r="208" ht="15.75" customHeight="1">
      <c r="A208" s="53"/>
      <c r="B208" s="53"/>
      <c r="C208" s="53"/>
      <c r="D208" s="53"/>
      <c r="E208" s="53"/>
      <c r="F208" s="53"/>
      <c r="G208" s="53"/>
      <c r="H208" s="53"/>
      <c r="I208" s="53"/>
      <c r="J208" s="53"/>
      <c r="K208" s="53"/>
    </row>
    <row r="209" ht="15.75" customHeight="1">
      <c r="A209" s="53"/>
      <c r="B209" s="53"/>
      <c r="C209" s="53"/>
      <c r="D209" s="53"/>
      <c r="E209" s="53"/>
      <c r="F209" s="53"/>
      <c r="G209" s="53"/>
      <c r="H209" s="53"/>
      <c r="I209" s="53"/>
      <c r="J209" s="53"/>
      <c r="K209" s="53"/>
    </row>
    <row r="210" ht="15.75" customHeight="1">
      <c r="A210" s="53"/>
      <c r="B210" s="53"/>
      <c r="C210" s="53"/>
      <c r="D210" s="53"/>
      <c r="E210" s="53"/>
      <c r="F210" s="53"/>
      <c r="G210" s="53"/>
      <c r="H210" s="53"/>
      <c r="I210" s="53"/>
      <c r="J210" s="53"/>
      <c r="K210" s="53"/>
    </row>
    <row r="211" ht="15.75" customHeight="1">
      <c r="A211" s="53"/>
      <c r="B211" s="53"/>
      <c r="C211" s="53"/>
      <c r="D211" s="53"/>
      <c r="E211" s="53"/>
      <c r="F211" s="53"/>
      <c r="G211" s="53"/>
      <c r="H211" s="53"/>
      <c r="I211" s="53"/>
      <c r="J211" s="53"/>
      <c r="K211" s="53"/>
    </row>
    <row r="212" ht="15.75" customHeight="1">
      <c r="A212" s="53"/>
      <c r="B212" s="53"/>
      <c r="C212" s="53"/>
      <c r="D212" s="53"/>
      <c r="E212" s="53"/>
      <c r="F212" s="53"/>
      <c r="G212" s="53"/>
      <c r="H212" s="53"/>
      <c r="I212" s="53"/>
      <c r="J212" s="53"/>
      <c r="K212" s="53"/>
    </row>
    <row r="213" ht="15.75" customHeight="1">
      <c r="A213" s="53"/>
      <c r="B213" s="53"/>
      <c r="C213" s="53"/>
      <c r="D213" s="53"/>
      <c r="E213" s="53"/>
      <c r="F213" s="53"/>
      <c r="G213" s="53"/>
      <c r="H213" s="53"/>
      <c r="I213" s="53"/>
      <c r="J213" s="53"/>
      <c r="K213" s="53"/>
    </row>
    <row r="214" ht="15.75" customHeight="1">
      <c r="A214" s="53"/>
      <c r="B214" s="53"/>
      <c r="C214" s="53"/>
      <c r="D214" s="53"/>
      <c r="E214" s="53"/>
      <c r="F214" s="53"/>
      <c r="G214" s="53"/>
      <c r="H214" s="53"/>
      <c r="I214" s="53"/>
      <c r="J214" s="53"/>
      <c r="K214" s="53"/>
    </row>
    <row r="215" ht="15.75" customHeight="1">
      <c r="A215" s="53"/>
      <c r="B215" s="53"/>
      <c r="C215" s="53"/>
      <c r="D215" s="53"/>
      <c r="E215" s="53"/>
      <c r="F215" s="53"/>
      <c r="G215" s="53"/>
      <c r="H215" s="53"/>
      <c r="I215" s="53"/>
      <c r="J215" s="53"/>
      <c r="K215" s="53"/>
    </row>
    <row r="216" ht="15.75" customHeight="1">
      <c r="A216" s="53"/>
      <c r="B216" s="53"/>
      <c r="C216" s="53"/>
      <c r="D216" s="53"/>
      <c r="E216" s="53"/>
      <c r="F216" s="53"/>
      <c r="G216" s="53"/>
      <c r="H216" s="53"/>
      <c r="I216" s="53"/>
      <c r="J216" s="53"/>
      <c r="K216" s="53"/>
    </row>
    <row r="217" ht="15.75" customHeight="1">
      <c r="A217" s="53"/>
      <c r="B217" s="53"/>
      <c r="C217" s="53"/>
      <c r="D217" s="53"/>
      <c r="E217" s="53"/>
      <c r="F217" s="53"/>
      <c r="G217" s="53"/>
      <c r="H217" s="53"/>
      <c r="I217" s="53"/>
      <c r="J217" s="53"/>
      <c r="K217" s="53"/>
    </row>
    <row r="218" ht="15.75" customHeight="1">
      <c r="A218" s="53"/>
      <c r="B218" s="53"/>
      <c r="C218" s="53"/>
      <c r="D218" s="53"/>
      <c r="E218" s="53"/>
      <c r="F218" s="53"/>
      <c r="G218" s="53"/>
      <c r="H218" s="53"/>
      <c r="I218" s="53"/>
      <c r="J218" s="53"/>
      <c r="K218" s="53"/>
    </row>
    <row r="219" ht="15.75" customHeight="1">
      <c r="A219" s="53"/>
      <c r="B219" s="53"/>
      <c r="C219" s="53"/>
      <c r="D219" s="53"/>
      <c r="E219" s="53"/>
      <c r="F219" s="53"/>
      <c r="G219" s="53"/>
      <c r="H219" s="53"/>
      <c r="I219" s="53"/>
      <c r="J219" s="53"/>
      <c r="K219" s="53"/>
    </row>
    <row r="220" ht="15.75" customHeight="1">
      <c r="A220" s="53"/>
      <c r="B220" s="53"/>
      <c r="C220" s="53"/>
      <c r="D220" s="53"/>
      <c r="E220" s="53"/>
      <c r="F220" s="53"/>
      <c r="G220" s="53"/>
      <c r="H220" s="53"/>
      <c r="I220" s="53"/>
      <c r="J220" s="53"/>
      <c r="K220" s="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0" ref="M2"/>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9.63"/>
    <col customWidth="1" min="2" max="2" width="14.0"/>
    <col customWidth="1" min="3" max="26" width="11.0"/>
  </cols>
  <sheetData>
    <row r="1" ht="15.75" customHeight="1">
      <c r="A1" s="162" t="str">
        <f>IFERROR(__xludf.DUMMYFUNCTION("IMPORTRANGE(""https://docs.google.com/spreadsheets/d/1yB8EoyXPqqx3RB0T7HMn-MLOhyLX9FgyVr4swT_O7Go/edit?gid=1749992939#gid=1749992939"",""変則単語!A:B"")"),"#REF!")</f>
        <v>#REF!</v>
      </c>
      <c r="B1" s="162"/>
      <c r="D1" s="163" t="s">
        <v>411</v>
      </c>
    </row>
    <row r="2" ht="15.75" customHeight="1">
      <c r="A2" s="53"/>
      <c r="B2" s="53"/>
      <c r="D2" s="164" t="s">
        <v>410</v>
      </c>
    </row>
    <row r="3" ht="15.75" customHeight="1">
      <c r="A3" s="53"/>
      <c r="B3" s="53"/>
    </row>
    <row r="4" ht="15.75" customHeight="1">
      <c r="A4" s="53"/>
      <c r="B4" s="53"/>
    </row>
    <row r="5" ht="15.75" customHeight="1">
      <c r="A5" s="53"/>
      <c r="B5" s="53"/>
    </row>
    <row r="6" ht="15.75" customHeight="1">
      <c r="A6" s="53"/>
      <c r="B6" s="53"/>
    </row>
    <row r="7" ht="15.75" customHeight="1">
      <c r="A7" s="53"/>
      <c r="B7" s="53"/>
    </row>
    <row r="8" ht="15.75" customHeight="1">
      <c r="A8" s="53"/>
      <c r="B8" s="53"/>
    </row>
    <row r="9" ht="15.75" customHeight="1">
      <c r="A9" s="53"/>
      <c r="B9" s="53"/>
    </row>
    <row r="10" ht="15.75" customHeight="1">
      <c r="A10" s="53"/>
      <c r="B10" s="53"/>
    </row>
    <row r="11" ht="15.75" customHeight="1">
      <c r="A11" s="53"/>
      <c r="B11" s="53"/>
    </row>
    <row r="12" ht="15.75" customHeight="1">
      <c r="A12" s="53"/>
      <c r="B12" s="53"/>
    </row>
    <row r="13" ht="15.75" customHeight="1">
      <c r="A13" s="53"/>
      <c r="B13" s="53"/>
    </row>
    <row r="14" ht="15.75" customHeight="1">
      <c r="A14" s="53"/>
      <c r="B14" s="53"/>
    </row>
    <row r="15" ht="15.75" customHeight="1">
      <c r="A15" s="53"/>
      <c r="B15" s="53"/>
    </row>
    <row r="16" ht="15.75" customHeight="1">
      <c r="A16" s="53"/>
      <c r="B16" s="53"/>
    </row>
    <row r="17" ht="15.75" customHeight="1">
      <c r="A17" s="53"/>
      <c r="B17" s="53"/>
    </row>
    <row r="18" ht="15.75" customHeight="1">
      <c r="A18" s="53"/>
      <c r="B18" s="53"/>
    </row>
    <row r="19" ht="15.75" customHeight="1">
      <c r="A19" s="53"/>
      <c r="B19" s="53"/>
    </row>
    <row r="20" ht="15.75" customHeight="1">
      <c r="A20" s="53"/>
      <c r="B20" s="53"/>
    </row>
    <row r="21" ht="15.75" customHeight="1">
      <c r="A21" s="53"/>
      <c r="B21" s="53"/>
    </row>
    <row r="22" ht="15.75" customHeight="1">
      <c r="A22" s="53"/>
      <c r="B22" s="53"/>
    </row>
    <row r="23" ht="15.75" customHeight="1">
      <c r="A23" s="53"/>
      <c r="B23" s="53"/>
    </row>
    <row r="24" ht="15.75" customHeight="1">
      <c r="A24" s="53"/>
      <c r="B24" s="53"/>
    </row>
    <row r="25" ht="15.75" customHeight="1">
      <c r="A25" s="53"/>
      <c r="B25" s="53"/>
    </row>
    <row r="26" ht="15.75" customHeight="1">
      <c r="A26" s="53"/>
      <c r="B26" s="53"/>
    </row>
    <row r="27" ht="15.75" customHeight="1">
      <c r="A27" s="53"/>
      <c r="B27" s="53"/>
    </row>
    <row r="28" ht="15.75" customHeight="1">
      <c r="A28" s="53"/>
      <c r="B28" s="53"/>
    </row>
    <row r="29" ht="15.75" customHeight="1">
      <c r="A29" s="53"/>
      <c r="B29" s="53"/>
    </row>
    <row r="30" ht="15.75" customHeight="1">
      <c r="A30" s="53"/>
      <c r="B30" s="53"/>
    </row>
    <row r="31" ht="15.75" customHeight="1">
      <c r="A31" s="53"/>
      <c r="B31" s="53"/>
    </row>
    <row r="32" ht="15.75" customHeight="1">
      <c r="A32" s="53"/>
      <c r="B32" s="53"/>
    </row>
    <row r="33" ht="15.75" customHeight="1">
      <c r="A33" s="53"/>
      <c r="B33" s="53"/>
    </row>
    <row r="34" ht="15.75" customHeight="1">
      <c r="A34" s="53"/>
      <c r="B34" s="53"/>
    </row>
    <row r="35" ht="15.75" customHeight="1">
      <c r="A35" s="53"/>
      <c r="B35" s="53"/>
    </row>
    <row r="36" ht="15.75" customHeight="1">
      <c r="A36" s="53"/>
      <c r="B36" s="53"/>
    </row>
    <row r="37" ht="15.75" customHeight="1">
      <c r="A37" s="53"/>
      <c r="B37" s="53"/>
    </row>
    <row r="38" ht="15.75" customHeight="1">
      <c r="A38" s="53"/>
      <c r="B38" s="53"/>
    </row>
    <row r="39" ht="15.75" customHeight="1">
      <c r="A39" s="53"/>
      <c r="B39" s="53"/>
    </row>
    <row r="40" ht="15.75" customHeight="1">
      <c r="A40" s="53"/>
      <c r="B40" s="53"/>
    </row>
    <row r="41" ht="15.75" customHeight="1">
      <c r="A41" s="53"/>
      <c r="B41" s="53"/>
    </row>
    <row r="42" ht="15.75" customHeight="1">
      <c r="A42" s="53"/>
      <c r="B42" s="53"/>
    </row>
    <row r="43" ht="15.75" customHeight="1">
      <c r="A43" s="53"/>
      <c r="B43" s="53"/>
    </row>
    <row r="44" ht="15.75" customHeight="1">
      <c r="A44" s="53"/>
      <c r="B44" s="53"/>
    </row>
    <row r="45" ht="15.75" customHeight="1">
      <c r="A45" s="53"/>
      <c r="B45" s="53"/>
    </row>
    <row r="46" ht="15.75" customHeight="1">
      <c r="A46" s="53"/>
      <c r="B46" s="53"/>
    </row>
    <row r="47" ht="15.75" customHeight="1">
      <c r="A47" s="53"/>
      <c r="B47" s="53"/>
    </row>
    <row r="48" ht="15.75" customHeight="1">
      <c r="A48" s="53"/>
      <c r="B48" s="53"/>
    </row>
    <row r="49" ht="15.75" customHeight="1">
      <c r="A49" s="53"/>
      <c r="B49" s="53"/>
    </row>
    <row r="50" ht="15.75" customHeight="1">
      <c r="A50" s="53"/>
      <c r="B50" s="53"/>
    </row>
    <row r="51" ht="15.75" customHeight="1">
      <c r="A51" s="53"/>
      <c r="B51" s="53"/>
    </row>
    <row r="52" ht="15.75" customHeight="1">
      <c r="A52" s="53"/>
      <c r="B52" s="53"/>
    </row>
    <row r="53" ht="15.75" customHeight="1">
      <c r="A53" s="53"/>
      <c r="B53" s="53"/>
    </row>
    <row r="54" ht="15.75" customHeight="1">
      <c r="A54" s="53"/>
      <c r="B54" s="53"/>
    </row>
    <row r="55" ht="15.75" customHeight="1">
      <c r="A55" s="53"/>
      <c r="B55" s="53"/>
    </row>
    <row r="56" ht="15.75" customHeight="1">
      <c r="A56" s="53"/>
      <c r="B56" s="53"/>
    </row>
    <row r="57" ht="15.75" customHeight="1">
      <c r="A57" s="53"/>
      <c r="B57" s="53"/>
    </row>
    <row r="58" ht="15.75" customHeight="1">
      <c r="A58" s="53"/>
      <c r="B58" s="53"/>
    </row>
    <row r="59" ht="15.75" customHeight="1">
      <c r="A59" s="53"/>
      <c r="B59" s="53"/>
    </row>
    <row r="60" ht="15.75" customHeight="1">
      <c r="A60" s="53"/>
      <c r="B60" s="53"/>
    </row>
    <row r="61" ht="15.75" customHeight="1">
      <c r="A61" s="53"/>
      <c r="B61" s="53"/>
    </row>
    <row r="62" ht="15.75" customHeight="1">
      <c r="A62" s="53"/>
      <c r="B62" s="53"/>
    </row>
    <row r="63" ht="15.75" customHeight="1">
      <c r="A63" s="53"/>
      <c r="B63" s="53"/>
    </row>
    <row r="64" ht="15.75" customHeight="1">
      <c r="A64" s="53"/>
      <c r="B64" s="53"/>
    </row>
    <row r="65" ht="15.75" customHeight="1">
      <c r="A65" s="53"/>
      <c r="B65" s="53"/>
    </row>
    <row r="66" ht="15.75" customHeight="1">
      <c r="A66" s="53"/>
      <c r="B66" s="53"/>
    </row>
    <row r="67" ht="15.75" customHeight="1">
      <c r="A67" s="53"/>
      <c r="B67" s="53"/>
    </row>
    <row r="68" ht="15.75" customHeight="1">
      <c r="A68" s="53"/>
      <c r="B68" s="53"/>
    </row>
    <row r="69" ht="15.75" customHeight="1">
      <c r="A69" s="53"/>
      <c r="B69" s="53"/>
    </row>
    <row r="70" ht="15.75" customHeight="1">
      <c r="A70" s="53"/>
      <c r="B70" s="53"/>
    </row>
    <row r="71" ht="15.75" customHeight="1">
      <c r="A71" s="53"/>
      <c r="B71" s="53"/>
    </row>
    <row r="72" ht="15.75" customHeight="1">
      <c r="A72" s="53"/>
      <c r="B72" s="53"/>
    </row>
    <row r="73" ht="15.75" customHeight="1">
      <c r="A73" s="53"/>
      <c r="B73" s="53"/>
    </row>
    <row r="74" ht="15.75" customHeight="1">
      <c r="A74" s="53"/>
      <c r="B74" s="53"/>
    </row>
    <row r="75" ht="15.75" customHeight="1">
      <c r="A75" s="53"/>
      <c r="B75" s="53"/>
    </row>
    <row r="76" ht="15.75" customHeight="1">
      <c r="A76" s="53"/>
      <c r="B76" s="53"/>
    </row>
    <row r="77" ht="15.75" customHeight="1">
      <c r="A77" s="53"/>
      <c r="B77" s="53"/>
    </row>
    <row r="78" ht="15.75" customHeight="1">
      <c r="A78" s="53"/>
      <c r="B78" s="53"/>
    </row>
    <row r="79" ht="15.75" customHeight="1">
      <c r="A79" s="53"/>
      <c r="B79" s="53"/>
    </row>
    <row r="80" ht="15.75" customHeight="1">
      <c r="A80" s="53"/>
      <c r="B80" s="53"/>
    </row>
    <row r="81" ht="15.75" customHeight="1">
      <c r="A81" s="53"/>
      <c r="B81" s="53"/>
    </row>
    <row r="82" ht="15.75" customHeight="1">
      <c r="A82" s="53"/>
      <c r="B82" s="53"/>
    </row>
    <row r="83" ht="15.75" customHeight="1">
      <c r="A83" s="53"/>
      <c r="B83" s="53"/>
    </row>
    <row r="84" ht="15.75" customHeight="1">
      <c r="A84" s="53"/>
      <c r="B84" s="53"/>
    </row>
    <row r="85" ht="15.75" customHeight="1">
      <c r="A85" s="53"/>
      <c r="B85" s="53"/>
    </row>
    <row r="86" ht="15.75" customHeight="1">
      <c r="A86" s="53"/>
      <c r="B86" s="53"/>
    </row>
    <row r="87" ht="15.75" customHeight="1">
      <c r="A87" s="53"/>
      <c r="B87" s="53"/>
    </row>
    <row r="88" ht="15.75" customHeight="1">
      <c r="A88" s="53"/>
      <c r="B88" s="53"/>
    </row>
    <row r="89" ht="15.75" customHeight="1">
      <c r="A89" s="53"/>
      <c r="B89" s="53"/>
    </row>
    <row r="90" ht="15.75" customHeight="1">
      <c r="A90" s="53"/>
      <c r="B90" s="53"/>
    </row>
    <row r="91" ht="15.75" customHeight="1">
      <c r="A91" s="53"/>
      <c r="B91" s="53"/>
    </row>
    <row r="92" ht="15.75" customHeight="1">
      <c r="A92" s="53"/>
      <c r="B92" s="53"/>
    </row>
    <row r="93" ht="15.75" customHeight="1">
      <c r="A93" s="53"/>
      <c r="B93" s="53"/>
    </row>
    <row r="94" ht="15.75" customHeight="1">
      <c r="A94" s="53"/>
      <c r="B94" s="53"/>
    </row>
    <row r="95" ht="15.75" customHeight="1">
      <c r="A95" s="53"/>
      <c r="B95" s="53"/>
    </row>
    <row r="96" ht="15.75" customHeight="1">
      <c r="A96" s="53"/>
      <c r="B96" s="53"/>
    </row>
    <row r="97" ht="15.75" customHeight="1">
      <c r="A97" s="53"/>
      <c r="B97" s="53"/>
    </row>
    <row r="98" ht="15.75" customHeight="1">
      <c r="A98" s="53"/>
      <c r="B98" s="53"/>
    </row>
    <row r="99" ht="15.75" customHeight="1">
      <c r="A99" s="53"/>
      <c r="B99" s="53"/>
    </row>
    <row r="100" ht="15.75" customHeight="1">
      <c r="A100" s="53"/>
      <c r="B100" s="53"/>
    </row>
    <row r="101" ht="15.75" customHeight="1">
      <c r="A101" s="53"/>
      <c r="B101" s="53"/>
    </row>
    <row r="102" ht="15.75" customHeight="1">
      <c r="A102" s="53"/>
      <c r="B102" s="53"/>
    </row>
    <row r="103" ht="15.75" customHeight="1">
      <c r="A103" s="53"/>
      <c r="B103" s="53"/>
    </row>
    <row r="104" ht="15.75" customHeight="1">
      <c r="A104" s="53"/>
      <c r="B104" s="53"/>
    </row>
    <row r="105" ht="15.75" customHeight="1">
      <c r="A105" s="53"/>
      <c r="B105" s="53"/>
    </row>
    <row r="106" ht="15.75" customHeight="1">
      <c r="A106" s="53"/>
      <c r="B106" s="53"/>
    </row>
    <row r="107" ht="15.75" customHeight="1">
      <c r="A107" s="53"/>
      <c r="B107" s="53"/>
    </row>
    <row r="108" ht="15.75" customHeight="1">
      <c r="A108" s="53"/>
      <c r="B108" s="53"/>
    </row>
    <row r="109" ht="15.75" customHeight="1">
      <c r="A109" s="53"/>
      <c r="B109" s="53"/>
    </row>
    <row r="110" ht="15.75" customHeight="1">
      <c r="A110" s="53"/>
      <c r="B110" s="53"/>
    </row>
    <row r="111" ht="15.75" customHeight="1">
      <c r="A111" s="53"/>
      <c r="B111" s="53"/>
    </row>
    <row r="112" ht="15.75" customHeight="1">
      <c r="A112" s="53"/>
      <c r="B112" s="53"/>
    </row>
    <row r="113" ht="15.75" customHeight="1">
      <c r="A113" s="53"/>
      <c r="B113" s="53"/>
    </row>
    <row r="114" ht="15.75" customHeight="1">
      <c r="A114" s="53"/>
      <c r="B114" s="53"/>
    </row>
    <row r="115" ht="15.75" customHeight="1">
      <c r="A115" s="53"/>
      <c r="B115" s="53"/>
    </row>
    <row r="116" ht="15.75" customHeight="1">
      <c r="A116" s="53"/>
      <c r="B116" s="53"/>
    </row>
    <row r="117" ht="15.75" customHeight="1">
      <c r="A117" s="53"/>
      <c r="B117" s="53"/>
    </row>
    <row r="118" ht="15.75" customHeight="1">
      <c r="A118" s="53"/>
      <c r="B118" s="53"/>
    </row>
    <row r="119" ht="15.75" customHeight="1">
      <c r="A119" s="53"/>
      <c r="B119" s="53"/>
    </row>
    <row r="120" ht="15.75" customHeight="1">
      <c r="A120" s="53"/>
      <c r="B120" s="53"/>
    </row>
    <row r="121" ht="15.75" customHeight="1">
      <c r="A121" s="53"/>
      <c r="B121" s="53"/>
    </row>
    <row r="122" ht="15.75" customHeight="1">
      <c r="A122" s="53"/>
      <c r="B122" s="53"/>
    </row>
    <row r="123" ht="15.75" customHeight="1">
      <c r="A123" s="53"/>
      <c r="B123" s="53"/>
    </row>
    <row r="124" ht="15.75" customHeight="1">
      <c r="A124" s="53"/>
      <c r="B124" s="53"/>
    </row>
    <row r="125" ht="15.75" customHeight="1">
      <c r="A125" s="53"/>
      <c r="B125" s="53"/>
    </row>
    <row r="126" ht="15.75" customHeight="1">
      <c r="A126" s="53"/>
      <c r="B126" s="53"/>
    </row>
    <row r="127" ht="15.75" customHeight="1">
      <c r="A127" s="53"/>
      <c r="B127" s="53"/>
    </row>
    <row r="128" ht="15.75" customHeight="1">
      <c r="A128" s="53"/>
      <c r="B128" s="53"/>
    </row>
    <row r="129" ht="15.75" customHeight="1">
      <c r="A129" s="53"/>
      <c r="B129" s="53"/>
    </row>
    <row r="130" ht="15.75" customHeight="1">
      <c r="A130" s="53"/>
      <c r="B130" s="53"/>
    </row>
    <row r="131" ht="15.75" customHeight="1">
      <c r="A131" s="53"/>
      <c r="B131" s="53"/>
    </row>
    <row r="132" ht="15.75" customHeight="1">
      <c r="A132" s="53"/>
      <c r="B132" s="53"/>
    </row>
    <row r="133" ht="15.75" customHeight="1">
      <c r="A133" s="53"/>
      <c r="B133" s="53"/>
    </row>
    <row r="134" ht="15.75" customHeight="1">
      <c r="A134" s="53"/>
      <c r="B134" s="53"/>
    </row>
    <row r="135" ht="15.75" customHeight="1">
      <c r="A135" s="53"/>
      <c r="B135" s="53"/>
    </row>
    <row r="136" ht="15.75" customHeight="1">
      <c r="A136" s="53"/>
      <c r="B136" s="53"/>
    </row>
    <row r="137" ht="15.75" customHeight="1">
      <c r="A137" s="53"/>
      <c r="B137" s="53"/>
    </row>
    <row r="138" ht="15.75" customHeight="1">
      <c r="A138" s="53"/>
      <c r="B138" s="53"/>
    </row>
    <row r="139" ht="15.75" customHeight="1">
      <c r="A139" s="53"/>
      <c r="B139" s="53"/>
    </row>
    <row r="140" ht="15.75" customHeight="1">
      <c r="A140" s="53"/>
      <c r="B140" s="53"/>
    </row>
    <row r="141" ht="15.75" customHeight="1">
      <c r="A141" s="53"/>
      <c r="B141" s="53"/>
    </row>
    <row r="142" ht="15.75" customHeight="1">
      <c r="A142" s="53"/>
      <c r="B142" s="53"/>
    </row>
    <row r="143" ht="15.75" customHeight="1">
      <c r="A143" s="53"/>
      <c r="B143" s="53"/>
    </row>
    <row r="144" ht="15.75" customHeight="1">
      <c r="A144" s="53"/>
      <c r="B144" s="53"/>
    </row>
    <row r="145" ht="15.75" customHeight="1">
      <c r="A145" s="53"/>
      <c r="B145" s="53"/>
    </row>
    <row r="146" ht="15.75" customHeight="1">
      <c r="A146" s="53"/>
      <c r="B146" s="53"/>
    </row>
    <row r="147" ht="15.75" customHeight="1">
      <c r="A147" s="53"/>
      <c r="B147" s="53"/>
    </row>
    <row r="148" ht="15.75" customHeight="1">
      <c r="A148" s="53"/>
      <c r="B148" s="53"/>
    </row>
    <row r="149" ht="15.75" customHeight="1">
      <c r="A149" s="53"/>
      <c r="B149" s="53"/>
    </row>
    <row r="150" ht="15.75" customHeight="1">
      <c r="A150" s="53"/>
      <c r="B150" s="53"/>
    </row>
    <row r="151" ht="15.75" customHeight="1">
      <c r="A151" s="53"/>
      <c r="B151" s="53"/>
    </row>
    <row r="152" ht="15.75" customHeight="1">
      <c r="A152" s="53"/>
      <c r="B152" s="53"/>
    </row>
    <row r="153" ht="15.75" customHeight="1">
      <c r="A153" s="53"/>
      <c r="B153" s="53"/>
    </row>
    <row r="154" ht="15.75" customHeight="1">
      <c r="A154" s="53"/>
      <c r="B154" s="53"/>
    </row>
    <row r="155" ht="15.75" customHeight="1">
      <c r="A155" s="53"/>
      <c r="B155" s="53"/>
    </row>
    <row r="156" ht="15.75" customHeight="1">
      <c r="A156" s="53"/>
      <c r="B156" s="53"/>
    </row>
    <row r="157" ht="15.75" customHeight="1">
      <c r="A157" s="53"/>
      <c r="B157" s="53"/>
    </row>
    <row r="158" ht="15.75" customHeight="1">
      <c r="A158" s="53"/>
      <c r="B158" s="53"/>
    </row>
    <row r="159" ht="15.75" customHeight="1">
      <c r="A159" s="53"/>
      <c r="B159" s="53"/>
    </row>
    <row r="160" ht="15.75" customHeight="1">
      <c r="A160" s="53"/>
      <c r="B160" s="53"/>
    </row>
    <row r="161" ht="15.75" customHeight="1">
      <c r="A161" s="53"/>
      <c r="B161" s="53"/>
    </row>
    <row r="162" ht="15.75" customHeight="1">
      <c r="A162" s="53"/>
      <c r="B162" s="53"/>
    </row>
    <row r="163" ht="15.75" customHeight="1">
      <c r="A163" s="53"/>
      <c r="B163" s="53"/>
    </row>
    <row r="164" ht="15.75" customHeight="1">
      <c r="A164" s="53"/>
      <c r="B164" s="53"/>
    </row>
    <row r="165" ht="15.75" customHeight="1">
      <c r="A165" s="53"/>
      <c r="B165" s="53"/>
    </row>
    <row r="166" ht="15.75" customHeight="1">
      <c r="A166" s="53"/>
      <c r="B166" s="53"/>
    </row>
    <row r="167" ht="15.75" customHeight="1">
      <c r="A167" s="53"/>
      <c r="B167" s="53"/>
    </row>
    <row r="168" ht="15.75" customHeight="1">
      <c r="A168" s="53"/>
      <c r="B168" s="53"/>
    </row>
    <row r="169" ht="15.75" customHeight="1">
      <c r="A169" s="53"/>
      <c r="B169" s="53"/>
    </row>
    <row r="170" ht="15.75" customHeight="1">
      <c r="A170" s="53"/>
      <c r="B170" s="53"/>
    </row>
    <row r="171" ht="15.75" customHeight="1">
      <c r="A171" s="53"/>
      <c r="B171" s="53"/>
    </row>
    <row r="172" ht="15.75" customHeight="1">
      <c r="A172" s="53"/>
      <c r="B172" s="53"/>
    </row>
    <row r="173" ht="15.75" customHeight="1">
      <c r="A173" s="53"/>
      <c r="B173" s="53"/>
    </row>
    <row r="174" ht="15.75" customHeight="1">
      <c r="A174" s="53"/>
      <c r="B174" s="53"/>
    </row>
    <row r="175" ht="15.75" customHeight="1">
      <c r="A175" s="53"/>
      <c r="B175" s="53"/>
    </row>
    <row r="176" ht="15.75" customHeight="1">
      <c r="A176" s="53"/>
      <c r="B176" s="53"/>
    </row>
    <row r="177" ht="15.75" customHeight="1">
      <c r="A177" s="53"/>
      <c r="B177" s="53"/>
    </row>
    <row r="178" ht="15.75" customHeight="1">
      <c r="A178" s="53"/>
      <c r="B178" s="53"/>
    </row>
    <row r="179" ht="15.75" customHeight="1">
      <c r="A179" s="53"/>
      <c r="B179" s="53"/>
    </row>
    <row r="180" ht="15.75" customHeight="1">
      <c r="A180" s="53"/>
      <c r="B180" s="53"/>
    </row>
    <row r="181" ht="15.75" customHeight="1">
      <c r="A181" s="53"/>
      <c r="B181" s="53"/>
    </row>
    <row r="182" ht="15.75" customHeight="1">
      <c r="A182" s="53"/>
      <c r="B182" s="53"/>
    </row>
    <row r="183" ht="15.75" customHeight="1">
      <c r="A183" s="53"/>
      <c r="B183" s="53"/>
    </row>
    <row r="184" ht="15.75" customHeight="1">
      <c r="A184" s="53"/>
      <c r="B184" s="53"/>
    </row>
    <row r="185" ht="15.75" customHeight="1">
      <c r="A185" s="53"/>
      <c r="B185" s="53"/>
    </row>
    <row r="186" ht="15.75" customHeight="1">
      <c r="A186" s="53"/>
      <c r="B186" s="53"/>
    </row>
    <row r="187" ht="15.75" customHeight="1">
      <c r="A187" s="53"/>
      <c r="B187" s="53"/>
    </row>
    <row r="188" ht="15.75" customHeight="1">
      <c r="A188" s="53"/>
      <c r="B188" s="53"/>
    </row>
    <row r="189" ht="15.75" customHeight="1">
      <c r="A189" s="53"/>
      <c r="B189" s="53"/>
    </row>
    <row r="190" ht="15.75" customHeight="1">
      <c r="A190" s="53"/>
      <c r="B190" s="53"/>
    </row>
    <row r="191" ht="15.75" customHeight="1">
      <c r="A191" s="53"/>
      <c r="B191" s="53"/>
    </row>
    <row r="192" ht="15.75" customHeight="1">
      <c r="A192" s="53"/>
      <c r="B192" s="53"/>
    </row>
    <row r="193" ht="15.75" customHeight="1">
      <c r="A193" s="53"/>
      <c r="B193" s="53"/>
    </row>
    <row r="194" ht="15.75" customHeight="1">
      <c r="A194" s="53"/>
      <c r="B194" s="53"/>
    </row>
    <row r="195" ht="15.75" customHeight="1">
      <c r="A195" s="53"/>
      <c r="B195" s="53"/>
    </row>
    <row r="196" ht="15.75" customHeight="1">
      <c r="A196" s="53"/>
      <c r="B196" s="53"/>
    </row>
    <row r="197" ht="15.75" customHeight="1">
      <c r="A197" s="53"/>
      <c r="B197" s="53"/>
    </row>
    <row r="198" ht="15.75" customHeight="1">
      <c r="A198" s="53"/>
      <c r="B198" s="53"/>
    </row>
    <row r="199" ht="15.75" customHeight="1">
      <c r="A199" s="53"/>
      <c r="B199" s="53"/>
    </row>
    <row r="200" ht="15.75" customHeight="1">
      <c r="A200" s="53"/>
      <c r="B200" s="53"/>
    </row>
    <row r="201" ht="15.75" customHeight="1">
      <c r="A201" s="53"/>
      <c r="B201" s="53"/>
    </row>
    <row r="202" ht="15.75" customHeight="1">
      <c r="A202" s="53"/>
      <c r="B202" s="53"/>
    </row>
    <row r="203" ht="15.75" customHeight="1">
      <c r="A203" s="53"/>
      <c r="B203" s="53"/>
    </row>
    <row r="204" ht="15.75" customHeight="1">
      <c r="A204" s="53"/>
      <c r="B204" s="53"/>
    </row>
    <row r="205" ht="15.75" customHeight="1">
      <c r="A205" s="53"/>
      <c r="B205" s="53"/>
    </row>
    <row r="206" ht="15.75" customHeight="1">
      <c r="A206" s="53"/>
      <c r="B206" s="53"/>
    </row>
    <row r="207" ht="15.75" customHeight="1">
      <c r="A207" s="53"/>
      <c r="B207" s="53"/>
    </row>
    <row r="208" ht="15.75" customHeight="1">
      <c r="A208" s="53"/>
      <c r="B208" s="53"/>
    </row>
    <row r="209" ht="15.75" customHeight="1">
      <c r="A209" s="53"/>
      <c r="B209" s="53"/>
    </row>
    <row r="210" ht="15.75" customHeight="1">
      <c r="A210" s="53"/>
      <c r="B210" s="53"/>
    </row>
    <row r="211" ht="15.75" customHeight="1">
      <c r="A211" s="53"/>
      <c r="B211" s="53"/>
    </row>
    <row r="212" ht="15.75" customHeight="1">
      <c r="A212" s="53"/>
      <c r="B212" s="53"/>
    </row>
    <row r="213" ht="15.75" customHeight="1">
      <c r="A213" s="53"/>
      <c r="B213" s="53"/>
    </row>
    <row r="214" ht="15.75" customHeight="1">
      <c r="A214" s="53"/>
      <c r="B214" s="53"/>
    </row>
    <row r="215" ht="15.75" customHeight="1">
      <c r="A215" s="53"/>
      <c r="B215" s="53"/>
    </row>
    <row r="216" ht="15.75" customHeight="1">
      <c r="A216" s="53"/>
      <c r="B216" s="53"/>
    </row>
    <row r="217" ht="15.75" customHeight="1">
      <c r="A217" s="53"/>
      <c r="B217" s="53"/>
    </row>
    <row r="218" ht="15.75" customHeight="1">
      <c r="A218" s="53"/>
      <c r="B218" s="53"/>
    </row>
    <row r="219" ht="15.75" customHeight="1">
      <c r="A219" s="53"/>
      <c r="B219" s="53"/>
    </row>
    <row r="220" ht="15.75" customHeight="1">
      <c r="A220" s="53"/>
      <c r="B220" s="5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749992939" ref="D2"/>
  </hyperlinks>
  <printOptions/>
  <pageMargins bottom="0.75" footer="0.0" header="0.0" left="0.7" right="0.7" top="0.75"/>
  <pageSetup paperSize="9" orientation="portrait"/>
  <drawing r:id="rId2"/>
</worksheet>
</file>